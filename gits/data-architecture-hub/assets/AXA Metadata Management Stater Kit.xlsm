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tables/table1.xml" ContentType="application/vnd.openxmlformats-officedocument.spreadsheetml.table+xml"/>
  <Override PartName="/xl/drawings/drawing3.xml" ContentType="application/vnd.openxmlformats-officedocument.drawing+xml"/>
  <Override PartName="/xl/tables/table2.xml" ContentType="application/vnd.openxmlformats-officedocument.spreadsheetml.table+xml"/>
  <Override PartName="/xl/drawings/drawing4.xml" ContentType="application/vnd.openxmlformats-officedocument.drawing+xml"/>
  <Override PartName="/xl/tables/table3.xml" ContentType="application/vnd.openxmlformats-officedocument.spreadsheetml.table+xml"/>
  <Override PartName="/xl/drawings/drawing5.xml" ContentType="application/vnd.openxmlformats-officedocument.drawing+xml"/>
  <Override PartName="/xl/activeX/activeX1.xml" ContentType="application/vnd.ms-office.activeX+xml"/>
  <Override PartName="/xl/activeX/activeX1.bin" ContentType="application/vnd.ms-office.activeX"/>
  <Override PartName="/xl/tables/table4.xml" ContentType="application/vnd.openxmlformats-officedocument.spreadsheetml.table+xml"/>
  <Override PartName="/xl/drawings/drawing6.xml" ContentType="application/vnd.openxmlformats-officedocument.drawing+xml"/>
  <Override PartName="/xl/activeX/activeX2.xml" ContentType="application/vnd.ms-office.activeX+xml"/>
  <Override PartName="/xl/activeX/activeX2.bin" ContentType="application/vnd.ms-office.activeX"/>
  <Override PartName="/xl/tables/table5.xml" ContentType="application/vnd.openxmlformats-officedocument.spreadsheetml.table+xml"/>
  <Override PartName="/xl/drawings/drawing7.xml" ContentType="application/vnd.openxmlformats-officedocument.drawing+xml"/>
  <Override PartName="/xl/tables/table6.xml" ContentType="application/vnd.openxmlformats-officedocument.spreadsheetml.table+xml"/>
  <Override PartName="/xl/drawings/drawing8.xml" ContentType="application/vnd.openxmlformats-officedocument.drawing+xml"/>
  <Override PartName="/xl/activeX/activeX3.xml" ContentType="application/vnd.ms-office.activeX+xml"/>
  <Override PartName="/xl/activeX/activeX3.bin" ContentType="application/vnd.ms-office.activeX"/>
  <Override PartName="/xl/tables/table7.xml" ContentType="application/vnd.openxmlformats-officedocument.spreadsheetml.table+xml"/>
  <Override PartName="/xl/drawings/drawing9.xml" ContentType="application/vnd.openxmlformats-officedocument.drawing+xml"/>
  <Override PartName="/xl/activeX/activeX4.xml" ContentType="application/vnd.ms-office.activeX+xml"/>
  <Override PartName="/xl/activeX/activeX4.bin" ContentType="application/vnd.ms-office.activeX"/>
  <Override PartName="/xl/tables/table8.xml" ContentType="application/vnd.openxmlformats-officedocument.spreadsheetml.table+xml"/>
  <Override PartName="/xl/drawings/drawing10.xml" ContentType="application/vnd.openxmlformats-officedocument.drawing+xml"/>
  <Override PartName="/xl/tables/table9.xml" ContentType="application/vnd.openxmlformats-officedocument.spreadsheetml.table+xml"/>
  <Override PartName="/xl/drawings/drawing11.xml" ContentType="application/vnd.openxmlformats-officedocument.drawing+xml"/>
  <Override PartName="/xl/tables/table10.xml" ContentType="application/vnd.openxmlformats-officedocument.spreadsheetml.table+xml"/>
  <Override PartName="/xl/drawings/drawing12.xml" ContentType="application/vnd.openxmlformats-officedocument.drawing+xml"/>
  <Override PartName="/xl/activeX/activeX5.xml" ContentType="application/vnd.ms-office.activeX+xml"/>
  <Override PartName="/xl/activeX/activeX5.bin" ContentType="application/vnd.ms-office.activeX"/>
  <Override PartName="/xl/tables/table11.xml" ContentType="application/vnd.openxmlformats-officedocument.spreadsheetml.table+xml"/>
  <Override PartName="/xl/drawings/drawing13.xml" ContentType="application/vnd.openxmlformats-officedocument.drawing+xml"/>
  <Override PartName="/xl/tables/table12.xml" ContentType="application/vnd.openxmlformats-officedocument.spreadsheetml.table+xml"/>
  <Override PartName="/xl/drawings/drawing14.xml" ContentType="application/vnd.openxmlformats-officedocument.drawing+xml"/>
  <Override PartName="/xl/tables/table13.xml" ContentType="application/vnd.openxmlformats-officedocument.spreadsheetml.table+xml"/>
  <Override PartName="/xl/drawings/drawing15.xml" ContentType="application/vnd.openxmlformats-officedocument.drawing+xml"/>
  <Override PartName="/xl/tables/table14.xml" ContentType="application/vnd.openxmlformats-officedocument.spreadsheetml.table+xml"/>
  <Override PartName="/xl/drawings/drawing16.xml" ContentType="application/vnd.openxmlformats-officedocument.drawing+xml"/>
  <Override PartName="/xl/tables/table15.xml" ContentType="application/vnd.openxmlformats-officedocument.spreadsheetml.table+xml"/>
  <Override PartName="/xl/drawings/drawing17.xml" ContentType="application/vnd.openxmlformats-officedocument.drawing+xml"/>
  <Override PartName="/xl/tables/table16.xml" ContentType="application/vnd.openxmlformats-officedocument.spreadsheetml.table+xml"/>
  <Override PartName="/xl/drawings/drawing18.xml" ContentType="application/vnd.openxmlformats-officedocument.drawing+xml"/>
  <Override PartName="/xl/tables/table17.xml" ContentType="application/vnd.openxmlformats-officedocument.spreadsheetml.table+xml"/>
  <Override PartName="/xl/drawings/drawing19.xml" ContentType="application/vnd.openxmlformats-officedocument.drawing+xml"/>
  <Override PartName="/xl/tables/table18.xml" ContentType="application/vnd.openxmlformats-officedocument.spreadsheetml.table+xml"/>
  <Override PartName="/xl/drawings/drawing20.xml" ContentType="application/vnd.openxmlformats-officedocument.drawing+xml"/>
  <Override PartName="/xl/tables/table19.xml" ContentType="application/vnd.openxmlformats-officedocument.spreadsheetml.table+xml"/>
  <Override PartName="/xl/drawings/drawing21.xml" ContentType="application/vnd.openxmlformats-officedocument.drawing+xml"/>
  <Override PartName="/xl/tables/table20.xml" ContentType="application/vnd.openxmlformats-officedocument.spreadsheetml.table+xml"/>
  <Override PartName="/xl/drawings/drawing22.xml" ContentType="application/vnd.openxmlformats-officedocument.drawing+xml"/>
  <Override PartName="/xl/tables/table21.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328" codeName="{74837BA0-65D6-932C-5D65-3B800EBDC722}"/>
  <workbookPr codeName="ThisWorkbook" defaultThemeVersion="166925"/>
  <mc:AlternateContent xmlns:mc="http://schemas.openxmlformats.org/markup-compatibility/2006">
    <mc:Choice Requires="x15">
      <x15ac:absPath xmlns:x15ac="http://schemas.microsoft.com/office/spreadsheetml/2010/11/ac" url="https://axa365-my.sharepoint.com/personal/a574du_login_axa/Documents/MY_WORKDIR/10-Git repositories/data-management/assets/metadata/"/>
    </mc:Choice>
  </mc:AlternateContent>
  <xr:revisionPtr revIDLastSave="56" documentId="8_{BB069DFA-BE7B-47FF-9494-51241868C549}" xr6:coauthVersionLast="41" xr6:coauthVersionMax="41" xr10:uidLastSave="{142A5126-C4D4-4EE6-B567-2BC668D4D93C}"/>
  <bookViews>
    <workbookView xWindow="28680" yWindow="-120" windowWidth="29040" windowHeight="15840" tabRatio="835" firstSheet="4" activeTab="17" xr2:uid="{00000000-000D-0000-FFFF-FFFF00000000}"/>
  </bookViews>
  <sheets>
    <sheet name="VERSION" sheetId="1" r:id="rId1"/>
    <sheet name="README" sheetId="2" r:id="rId2"/>
    <sheet name="TAB of CONTENTS" sheetId="3" r:id="rId3"/>
    <sheet name="DASHBOARD" sheetId="5" state="hidden" r:id="rId4"/>
    <sheet name="Subject area" sheetId="31" r:id="rId5"/>
    <sheet name="Business area" sheetId="32" r:id="rId6"/>
    <sheet name="Governance team" sheetId="38" r:id="rId7"/>
    <sheet name="Data domain" sheetId="22" r:id="rId8"/>
    <sheet name="Team" sheetId="44" r:id="rId9"/>
    <sheet name="List of values" sheetId="4" r:id="rId10"/>
    <sheet name="ACORD" sheetId="41" state="hidden" r:id="rId11"/>
    <sheet name="Data object" sheetId="47" r:id="rId12"/>
    <sheet name="Data element" sheetId="7" r:id="rId13"/>
    <sheet name="Data processing activity" sheetId="10" r:id="rId14"/>
    <sheet name="Data transfer" sheetId="11" r:id="rId15"/>
    <sheet name="Database" sheetId="12" r:id="rId16"/>
    <sheet name="Dataset" sheetId="13" r:id="rId17"/>
    <sheet name="Datafield" sheetId="14" r:id="rId18"/>
    <sheet name="Business data quality rule" sheetId="15" r:id="rId19"/>
    <sheet name="Technical data quality rule" sheetId="16" r:id="rId20"/>
    <sheet name="Business data issue" sheetId="19" r:id="rId21"/>
    <sheet name="Data quality issue" sheetId="43" r:id="rId22"/>
    <sheet name="Database -&gt; Dataset" sheetId="27" r:id="rId23"/>
    <sheet name="DPA-&gt;Data element" sheetId="29" r:id="rId24"/>
    <sheet name="DPA -&gt; Business DQ rule " sheetId="30" r:id="rId25"/>
    <sheet name="BusinessDQ rule -&gt; Data element" sheetId="49" r:id="rId26"/>
  </sheets>
  <definedNames>
    <definedName name="ASSPLANNING">'List of values'!$R$4:$R$7</definedName>
    <definedName name="BOOLEAN">'List of values'!$E$4:$E$5</definedName>
    <definedName name="BUSCRITICAL">'List of values'!$W$4:$W$8</definedName>
    <definedName name="CONLVL">'List of values'!$D$4:$D$7</definedName>
    <definedName name="CRITILEVEL">'List of values'!$T$4:$T$8</definedName>
    <definedName name="CTRYCD">'List of values'!$K$4:$K$252</definedName>
    <definedName name="CTRYLBL">'List of values'!$M$4:$M$252</definedName>
    <definedName name="CTRYNM">'List of values'!$L$4:$L$252</definedName>
    <definedName name="DATA_ROLE">'List of values'!$Y$4:$Y$9</definedName>
    <definedName name="DATASETTYPE">'List of values'!$P$4:$P$6</definedName>
    <definedName name="DBENGINE">'List of values'!$O$4:$O$9</definedName>
    <definedName name="DPARCPT">'List of values'!$J$4:$J$26</definedName>
    <definedName name="DPAREC">'List of values'!$H$4:$H$7</definedName>
    <definedName name="DPATLB">'List of values'!$I$4:$I$7</definedName>
    <definedName name="DQDIMENSION">'List of values'!$Q$4:$Q$11</definedName>
    <definedName name="ENVTYPE">'List of values'!$N$4:$N$8</definedName>
    <definedName name="ILGENT">'List of values'!$F$4:$F$5</definedName>
    <definedName name="ILGRLE">'List of values'!$G$4:$G$6</definedName>
    <definedName name="IMPACTCATEGORY">'List of values'!$S$4:$S$11</definedName>
    <definedName name="IMPORTANCELVL">'List of values'!$U$4:$U$6</definedName>
    <definedName name="PERCAT">'List of values'!$C$4:$C$26</definedName>
    <definedName name="PERIND">'List of values'!$V$4:$V$6</definedName>
    <definedName name="PERSEN">'List of values'!$B$4:$B$6</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F7" i="43" l="1"/>
  <c r="F6" i="43"/>
  <c r="F5" i="43"/>
  <c r="F4" i="43"/>
  <c r="M6" i="14" l="1"/>
  <c r="M7" i="14"/>
  <c r="M8" i="14"/>
  <c r="M9" i="14"/>
  <c r="M10" i="14"/>
  <c r="M11" i="14"/>
  <c r="M12" i="14"/>
  <c r="M13" i="14"/>
  <c r="M14" i="14"/>
  <c r="M15" i="14"/>
  <c r="M16" i="14"/>
  <c r="M17" i="14"/>
  <c r="M18" i="14"/>
  <c r="M19" i="14"/>
  <c r="M20" i="14"/>
  <c r="L6" i="14"/>
  <c r="L7" i="14"/>
  <c r="L8" i="14"/>
  <c r="L9" i="14"/>
  <c r="L10" i="14"/>
  <c r="L11" i="14"/>
  <c r="L12" i="14"/>
  <c r="L13" i="14"/>
  <c r="L14" i="14"/>
  <c r="L15" i="14"/>
  <c r="L16" i="14"/>
  <c r="L17" i="14"/>
  <c r="L18" i="14"/>
  <c r="L19" i="14"/>
  <c r="L20" i="14"/>
  <c r="J5" i="13"/>
  <c r="J6" i="13"/>
  <c r="J8" i="13"/>
  <c r="J9" i="13"/>
  <c r="J10" i="13"/>
  <c r="J11" i="13"/>
  <c r="J12" i="13"/>
  <c r="J13" i="13"/>
  <c r="J14" i="13"/>
  <c r="J15" i="13"/>
  <c r="J16" i="13"/>
  <c r="J17" i="13"/>
  <c r="J18" i="13"/>
  <c r="J19" i="13"/>
  <c r="I5" i="13"/>
  <c r="I6" i="13"/>
  <c r="I8" i="13"/>
  <c r="I9" i="13"/>
  <c r="I10" i="13"/>
  <c r="I11" i="13"/>
  <c r="I12" i="13"/>
  <c r="I13" i="13"/>
  <c r="I14" i="13"/>
  <c r="I15" i="13"/>
  <c r="I16" i="13"/>
  <c r="I17" i="13"/>
  <c r="I18" i="13"/>
  <c r="I19" i="13"/>
  <c r="G9" i="13" l="1"/>
  <c r="G10" i="13"/>
  <c r="G11" i="13"/>
  <c r="G12" i="13"/>
  <c r="G13" i="13"/>
  <c r="G14" i="13"/>
  <c r="G15" i="13"/>
  <c r="G16" i="13"/>
  <c r="G17" i="13"/>
  <c r="G18" i="13"/>
  <c r="G19" i="13"/>
  <c r="J17" i="7"/>
  <c r="J18" i="7"/>
  <c r="J19" i="7"/>
  <c r="J20" i="7"/>
  <c r="J21" i="7"/>
  <c r="J22" i="7"/>
  <c r="J23" i="7"/>
  <c r="J24" i="7"/>
  <c r="J25" i="7"/>
  <c r="J26" i="7"/>
  <c r="J27" i="7"/>
  <c r="J28" i="7"/>
  <c r="J29" i="7"/>
  <c r="J30" i="7"/>
  <c r="F9" i="49" l="1"/>
  <c r="F10" i="49"/>
  <c r="F11" i="49"/>
  <c r="F12" i="49"/>
  <c r="F13" i="49"/>
  <c r="F14" i="49"/>
  <c r="F15" i="49"/>
  <c r="F16" i="49"/>
  <c r="F17" i="49"/>
  <c r="F18" i="49"/>
  <c r="F19" i="49"/>
  <c r="F20" i="49"/>
  <c r="E9" i="49"/>
  <c r="E10" i="49"/>
  <c r="E11" i="49"/>
  <c r="E12" i="49"/>
  <c r="E13" i="49"/>
  <c r="E14" i="49"/>
  <c r="E15" i="49"/>
  <c r="E16" i="49"/>
  <c r="E17" i="49"/>
  <c r="E18" i="49"/>
  <c r="E19" i="49"/>
  <c r="E20" i="49"/>
  <c r="C9" i="49"/>
  <c r="C10" i="49"/>
  <c r="C11" i="49"/>
  <c r="C12" i="49"/>
  <c r="C13" i="49"/>
  <c r="C14" i="49"/>
  <c r="C15" i="49"/>
  <c r="C16" i="49"/>
  <c r="C17" i="49"/>
  <c r="C18" i="49"/>
  <c r="C19" i="49"/>
  <c r="C20" i="49"/>
  <c r="B9" i="49"/>
  <c r="B10" i="49"/>
  <c r="B11" i="49"/>
  <c r="B12" i="49"/>
  <c r="B13" i="49"/>
  <c r="B14" i="49"/>
  <c r="B15" i="49"/>
  <c r="B16" i="49"/>
  <c r="B17" i="49"/>
  <c r="B18" i="49"/>
  <c r="B19" i="49"/>
  <c r="B20" i="49"/>
  <c r="A4" i="19" l="1"/>
  <c r="A5" i="19"/>
  <c r="A6" i="19"/>
  <c r="A7" i="19"/>
  <c r="A8" i="19"/>
  <c r="A9" i="19"/>
  <c r="A10" i="19"/>
  <c r="A4" i="16"/>
  <c r="A5" i="16"/>
  <c r="A6" i="16"/>
  <c r="A7" i="16"/>
  <c r="A8" i="16"/>
  <c r="A9" i="16"/>
  <c r="A10" i="16"/>
  <c r="A4" i="15"/>
  <c r="A5" i="15"/>
  <c r="A6" i="15"/>
  <c r="A7" i="15"/>
  <c r="A8" i="15"/>
  <c r="A9" i="15"/>
  <c r="A10" i="15"/>
  <c r="A4" i="14"/>
  <c r="A5" i="14"/>
  <c r="A6" i="14"/>
  <c r="A7" i="14"/>
  <c r="A8" i="14"/>
  <c r="A9" i="14"/>
  <c r="A10" i="14"/>
  <c r="A11" i="14"/>
  <c r="A12" i="14"/>
  <c r="A13" i="14"/>
  <c r="A14" i="14"/>
  <c r="A15" i="14"/>
  <c r="A16" i="14"/>
  <c r="A17" i="14"/>
  <c r="A18" i="14"/>
  <c r="A19" i="14"/>
  <c r="A20" i="14"/>
  <c r="A4" i="13"/>
  <c r="A5" i="13"/>
  <c r="A6" i="13"/>
  <c r="A7" i="13"/>
  <c r="A8" i="13"/>
  <c r="A9" i="13"/>
  <c r="A10" i="13"/>
  <c r="A11" i="13"/>
  <c r="A12" i="13"/>
  <c r="A13" i="13"/>
  <c r="A14" i="13"/>
  <c r="A15" i="13"/>
  <c r="A16" i="13"/>
  <c r="A17" i="13"/>
  <c r="A18" i="13"/>
  <c r="A19" i="13"/>
  <c r="A4" i="12"/>
  <c r="A5" i="12"/>
  <c r="A6" i="12"/>
  <c r="A7" i="12"/>
  <c r="A8" i="12"/>
  <c r="A9" i="12"/>
  <c r="A10" i="12"/>
  <c r="A4" i="11"/>
  <c r="A5" i="11"/>
  <c r="A6" i="11"/>
  <c r="A7" i="11"/>
  <c r="A8" i="11"/>
  <c r="A9" i="11"/>
  <c r="A10" i="11"/>
  <c r="A4" i="10"/>
  <c r="A5" i="10"/>
  <c r="A6" i="10"/>
  <c r="A7" i="10"/>
  <c r="A8" i="10"/>
  <c r="A9" i="10"/>
  <c r="A10" i="10"/>
  <c r="A11" i="10"/>
  <c r="A12" i="10"/>
  <c r="A13" i="10"/>
  <c r="A14" i="10"/>
  <c r="A15" i="10"/>
  <c r="A16" i="10"/>
  <c r="A17" i="10"/>
  <c r="A18" i="10"/>
  <c r="A19" i="10"/>
  <c r="A20" i="10"/>
  <c r="A4" i="7"/>
  <c r="A5" i="7"/>
  <c r="A6" i="7"/>
  <c r="A7" i="7"/>
  <c r="A8" i="7"/>
  <c r="A9" i="7"/>
  <c r="A10" i="7"/>
  <c r="A11" i="7"/>
  <c r="A12" i="7"/>
  <c r="A13" i="7"/>
  <c r="A14" i="7"/>
  <c r="A15" i="7"/>
  <c r="A16" i="7"/>
  <c r="A17" i="7"/>
  <c r="A18" i="7"/>
  <c r="A19" i="7"/>
  <c r="A20" i="7"/>
  <c r="A21" i="7"/>
  <c r="A22" i="7"/>
  <c r="A23" i="7"/>
  <c r="A24" i="7"/>
  <c r="A25" i="7"/>
  <c r="A26" i="7"/>
  <c r="A27" i="7"/>
  <c r="A28" i="7"/>
  <c r="A29" i="7"/>
  <c r="A30" i="7"/>
  <c r="A4" i="47"/>
  <c r="A5" i="47"/>
  <c r="A6" i="47"/>
  <c r="A7" i="47"/>
  <c r="A8" i="47"/>
  <c r="A9" i="47"/>
  <c r="A10" i="47"/>
  <c r="A11" i="47"/>
  <c r="A12" i="47"/>
  <c r="A13" i="47"/>
  <c r="A14" i="47"/>
  <c r="A15" i="47"/>
  <c r="A16" i="47"/>
  <c r="A17" i="47"/>
  <c r="A18" i="47"/>
  <c r="A19" i="47"/>
  <c r="A20" i="47"/>
  <c r="A4" i="44"/>
  <c r="A5" i="44"/>
  <c r="A6" i="44"/>
  <c r="A7" i="44"/>
  <c r="A8" i="44"/>
  <c r="A9" i="44"/>
  <c r="A10" i="44"/>
  <c r="A4" i="22"/>
  <c r="A5" i="22"/>
  <c r="A6" i="22"/>
  <c r="A7" i="22"/>
  <c r="A8" i="22"/>
  <c r="A9" i="22"/>
  <c r="A10" i="22"/>
  <c r="A4" i="32"/>
  <c r="A5" i="32"/>
  <c r="A6" i="32"/>
  <c r="A7" i="32"/>
  <c r="A8" i="32"/>
  <c r="A9" i="32"/>
  <c r="A10" i="32"/>
  <c r="A4" i="31"/>
  <c r="A5" i="31"/>
  <c r="A6" i="31"/>
  <c r="A7" i="31"/>
  <c r="A8" i="31"/>
  <c r="A9" i="31"/>
  <c r="A10" i="31"/>
  <c r="A11" i="31"/>
  <c r="A12" i="31"/>
  <c r="A13" i="31"/>
  <c r="A14" i="31"/>
  <c r="A15" i="31"/>
  <c r="A16" i="31"/>
  <c r="A17" i="31"/>
  <c r="A18" i="31"/>
  <c r="A19" i="31"/>
  <c r="A20" i="31"/>
  <c r="A21" i="31"/>
  <c r="A22" i="31"/>
  <c r="A23" i="31"/>
  <c r="A24" i="31"/>
  <c r="A25" i="31"/>
  <c r="A26" i="31"/>
  <c r="A27" i="31"/>
  <c r="A28" i="31"/>
  <c r="A29" i="31"/>
  <c r="A30" i="31"/>
  <c r="A31" i="31"/>
  <c r="A32" i="31"/>
  <c r="A33" i="31"/>
  <c r="A34" i="31"/>
  <c r="A35" i="31"/>
  <c r="A36" i="31"/>
  <c r="A37" i="31"/>
  <c r="A38" i="31"/>
  <c r="A39" i="31"/>
  <c r="A40" i="31"/>
  <c r="A41" i="31"/>
  <c r="A42" i="31"/>
  <c r="A43" i="31"/>
  <c r="A44" i="31"/>
  <c r="A45" i="31"/>
  <c r="A46" i="31"/>
  <c r="A47" i="31"/>
  <c r="A48" i="31"/>
  <c r="A49" i="31"/>
  <c r="A50" i="31"/>
  <c r="A51" i="31"/>
  <c r="A52" i="31"/>
  <c r="A53" i="31"/>
  <c r="A54" i="31"/>
  <c r="A55" i="31"/>
  <c r="A56" i="31"/>
  <c r="A57" i="31"/>
  <c r="A58" i="31"/>
  <c r="A59" i="31"/>
  <c r="A60" i="31"/>
  <c r="A61" i="31"/>
  <c r="A62" i="31"/>
  <c r="A63" i="31"/>
  <c r="A64" i="31"/>
  <c r="A65" i="31"/>
  <c r="A66" i="31"/>
  <c r="A67" i="31"/>
  <c r="A68" i="31"/>
  <c r="A69" i="31"/>
  <c r="A70" i="31"/>
  <c r="A71" i="31"/>
  <c r="A72" i="31"/>
  <c r="A73" i="31"/>
  <c r="A74" i="31"/>
  <c r="A75" i="31"/>
  <c r="A76" i="31"/>
  <c r="A77" i="31"/>
  <c r="A78" i="31"/>
  <c r="A79" i="31"/>
  <c r="A80" i="31"/>
  <c r="A81" i="31"/>
  <c r="A82" i="31"/>
  <c r="A83" i="31"/>
  <c r="A84" i="31"/>
  <c r="A85" i="31"/>
  <c r="A86" i="31"/>
  <c r="A87" i="31"/>
  <c r="A88" i="31"/>
  <c r="A89" i="31"/>
  <c r="A90" i="31"/>
  <c r="A91" i="31"/>
  <c r="A92" i="31"/>
  <c r="A93" i="31"/>
  <c r="A94" i="31"/>
  <c r="A95" i="31"/>
  <c r="A96" i="31"/>
  <c r="A97" i="31"/>
  <c r="A98" i="31"/>
  <c r="A99" i="31"/>
  <c r="A100" i="31"/>
  <c r="A101" i="31"/>
  <c r="A102" i="31"/>
  <c r="A103" i="31"/>
  <c r="A104" i="31"/>
  <c r="A105" i="31"/>
  <c r="A106" i="31"/>
  <c r="A107" i="31"/>
  <c r="A108" i="31"/>
  <c r="A109" i="31"/>
  <c r="A110" i="31"/>
  <c r="A111" i="31"/>
  <c r="A112" i="31"/>
  <c r="A113" i="31"/>
  <c r="A114" i="31"/>
  <c r="A115" i="31"/>
  <c r="C8" i="49" l="1"/>
  <c r="B7" i="49"/>
  <c r="B8" i="49"/>
  <c r="C7" i="49"/>
  <c r="B4" i="49"/>
  <c r="B5" i="49"/>
  <c r="C4" i="49"/>
  <c r="C5" i="49"/>
  <c r="C6" i="49"/>
  <c r="B6" i="49"/>
  <c r="M4" i="14"/>
  <c r="M5" i="14"/>
  <c r="L5" i="14"/>
  <c r="L4" i="14"/>
  <c r="F7" i="49"/>
  <c r="E8" i="49"/>
  <c r="F8" i="49"/>
  <c r="E7" i="49"/>
  <c r="Q4" i="10"/>
  <c r="Q12" i="10"/>
  <c r="Q5" i="10"/>
  <c r="Q13" i="10"/>
  <c r="Q6" i="10"/>
  <c r="Q14" i="10"/>
  <c r="Q18" i="10"/>
  <c r="Q7" i="10"/>
  <c r="Q15" i="10"/>
  <c r="Q8" i="10"/>
  <c r="Q16" i="10"/>
  <c r="Q9" i="10"/>
  <c r="Q17" i="10"/>
  <c r="Q20" i="10"/>
  <c r="Q10" i="10"/>
  <c r="Q11" i="10"/>
  <c r="Q19" i="10"/>
  <c r="I7" i="13"/>
  <c r="J7" i="13"/>
  <c r="I4" i="13"/>
  <c r="J4" i="13"/>
  <c r="J9" i="7"/>
  <c r="J6" i="7"/>
  <c r="J8" i="7"/>
  <c r="J10" i="7"/>
  <c r="J11" i="7"/>
  <c r="J4" i="7"/>
  <c r="J12" i="7"/>
  <c r="J16" i="7"/>
  <c r="J5" i="7"/>
  <c r="J13" i="7"/>
  <c r="J15" i="7"/>
  <c r="J14" i="7"/>
  <c r="J7" i="7"/>
  <c r="G4" i="13"/>
  <c r="G7" i="13"/>
  <c r="G5" i="13"/>
  <c r="G8" i="13"/>
  <c r="G6" i="13"/>
  <c r="F5" i="49"/>
  <c r="E4" i="49"/>
  <c r="E5" i="49"/>
  <c r="E6" i="49"/>
  <c r="F4" i="49"/>
  <c r="F6" i="49"/>
  <c r="F4" i="30"/>
  <c r="F5" i="30"/>
  <c r="F6" i="30"/>
  <c r="F7" i="30"/>
  <c r="F8" i="30"/>
  <c r="F9" i="30"/>
  <c r="F10" i="30"/>
  <c r="E4" i="30"/>
  <c r="E5" i="30"/>
  <c r="E6" i="30"/>
  <c r="E7" i="30"/>
  <c r="E8" i="30"/>
  <c r="E9" i="30"/>
  <c r="E10" i="30"/>
  <c r="C4" i="30"/>
  <c r="C5" i="30"/>
  <c r="C6" i="30"/>
  <c r="C7" i="30"/>
  <c r="C8" i="30"/>
  <c r="C9" i="30"/>
  <c r="C10" i="30"/>
  <c r="B4" i="30"/>
  <c r="B5" i="30"/>
  <c r="B6" i="30"/>
  <c r="B7" i="30"/>
  <c r="B8" i="30"/>
  <c r="B9" i="30"/>
  <c r="B10" i="30"/>
  <c r="F4" i="29"/>
  <c r="F5" i="29"/>
  <c r="F6" i="29"/>
  <c r="F7" i="29"/>
  <c r="F8" i="29"/>
  <c r="F9" i="29"/>
  <c r="F10" i="29"/>
  <c r="F11" i="29"/>
  <c r="F12" i="29"/>
  <c r="F13" i="29"/>
  <c r="F14" i="29"/>
  <c r="F15" i="29"/>
  <c r="F16" i="29"/>
  <c r="F17" i="29"/>
  <c r="F18" i="29"/>
  <c r="F19" i="29"/>
  <c r="E4" i="29"/>
  <c r="E5" i="29"/>
  <c r="E6" i="29"/>
  <c r="E7" i="29"/>
  <c r="E8" i="29"/>
  <c r="E9" i="29"/>
  <c r="E10" i="29"/>
  <c r="E11" i="29"/>
  <c r="E12" i="29"/>
  <c r="E13" i="29"/>
  <c r="E14" i="29"/>
  <c r="E15" i="29"/>
  <c r="E16" i="29"/>
  <c r="E17" i="29"/>
  <c r="E18" i="29"/>
  <c r="E19" i="29"/>
  <c r="C4" i="29"/>
  <c r="C5" i="29"/>
  <c r="C6" i="29"/>
  <c r="C7" i="29"/>
  <c r="C8" i="29"/>
  <c r="C9" i="29"/>
  <c r="C10" i="29"/>
  <c r="C11" i="29"/>
  <c r="C12" i="29"/>
  <c r="C13" i="29"/>
  <c r="C14" i="29"/>
  <c r="C15" i="29"/>
  <c r="C16" i="29"/>
  <c r="C17" i="29"/>
  <c r="C18" i="29"/>
  <c r="C19" i="29"/>
  <c r="B4" i="29"/>
  <c r="B5" i="29"/>
  <c r="B6" i="29"/>
  <c r="B7" i="29"/>
  <c r="B8" i="29"/>
  <c r="B9" i="29"/>
  <c r="B10" i="29"/>
  <c r="B11" i="29"/>
  <c r="B12" i="29"/>
  <c r="B13" i="29"/>
  <c r="B14" i="29"/>
  <c r="B15" i="29"/>
  <c r="B16" i="29"/>
  <c r="B17" i="29"/>
  <c r="B18" i="29"/>
  <c r="B19" i="29"/>
  <c r="F4" i="27"/>
  <c r="F5" i="27"/>
  <c r="F6" i="27"/>
  <c r="F7" i="27"/>
  <c r="F8" i="27"/>
  <c r="F9" i="27"/>
  <c r="F10" i="27"/>
  <c r="E4" i="27"/>
  <c r="E5" i="27"/>
  <c r="E6" i="27"/>
  <c r="E7" i="27"/>
  <c r="E8" i="27"/>
  <c r="E9" i="27"/>
  <c r="E10" i="27"/>
  <c r="C4" i="27"/>
  <c r="C5" i="27"/>
  <c r="C6" i="27"/>
  <c r="C7" i="27"/>
  <c r="C8" i="27"/>
  <c r="C9" i="27"/>
  <c r="C10" i="27"/>
  <c r="B4" i="27"/>
  <c r="B5" i="27"/>
  <c r="B6" i="27"/>
  <c r="B7" i="27"/>
  <c r="B8" i="27"/>
  <c r="B9" i="27"/>
  <c r="B10" i="27"/>
  <c r="E20" i="47" l="1"/>
  <c r="E19" i="47"/>
  <c r="E18" i="47"/>
  <c r="E17" i="47"/>
  <c r="E16" i="47"/>
  <c r="E15" i="47"/>
  <c r="E14" i="47"/>
  <c r="E13" i="47"/>
  <c r="E12" i="47"/>
  <c r="E11" i="47"/>
  <c r="E10" i="47"/>
  <c r="E9" i="47"/>
  <c r="E8" i="47"/>
  <c r="E7" i="47"/>
  <c r="E6" i="47"/>
  <c r="E5" i="47"/>
  <c r="E4" i="47"/>
  <c r="E4" i="7" l="1"/>
  <c r="E5" i="7"/>
  <c r="E6" i="7"/>
  <c r="E7" i="7"/>
  <c r="E8" i="7"/>
  <c r="E9" i="7"/>
  <c r="E10" i="7"/>
  <c r="E11" i="7"/>
  <c r="E12" i="7"/>
  <c r="E13" i="7"/>
  <c r="E14" i="7"/>
  <c r="E15" i="7"/>
  <c r="E16" i="7"/>
  <c r="E17" i="7"/>
  <c r="E18" i="7"/>
  <c r="E19" i="7"/>
  <c r="E20" i="7"/>
  <c r="E21" i="7"/>
  <c r="E22" i="7"/>
  <c r="E23" i="7"/>
  <c r="E24" i="7"/>
  <c r="E25" i="7"/>
  <c r="E26" i="7"/>
  <c r="E27" i="7"/>
  <c r="E28" i="7"/>
  <c r="E29" i="7"/>
  <c r="E30" i="7"/>
  <c r="M5" i="4" l="1"/>
  <c r="M6" i="4"/>
  <c r="M7" i="4"/>
  <c r="M8" i="4"/>
  <c r="M9" i="4"/>
  <c r="M10" i="4"/>
  <c r="M11" i="4"/>
  <c r="M12" i="4"/>
  <c r="M13" i="4"/>
  <c r="M14" i="4"/>
  <c r="M15" i="4"/>
  <c r="M16" i="4"/>
  <c r="M17" i="4"/>
  <c r="M18" i="4"/>
  <c r="M19" i="4"/>
  <c r="M20" i="4"/>
  <c r="M21" i="4"/>
  <c r="M22" i="4"/>
  <c r="M23" i="4"/>
  <c r="M24" i="4"/>
  <c r="M25" i="4"/>
  <c r="M26" i="4"/>
  <c r="M27" i="4"/>
  <c r="M28" i="4"/>
  <c r="M29" i="4"/>
  <c r="M30" i="4"/>
  <c r="M31" i="4"/>
  <c r="M32" i="4"/>
  <c r="M33" i="4"/>
  <c r="M34" i="4"/>
  <c r="M35" i="4"/>
  <c r="M36" i="4"/>
  <c r="M37" i="4"/>
  <c r="M38" i="4"/>
  <c r="M39" i="4"/>
  <c r="M40" i="4"/>
  <c r="M41" i="4"/>
  <c r="M42" i="4"/>
  <c r="M43" i="4"/>
  <c r="M44" i="4"/>
  <c r="M45" i="4"/>
  <c r="M46" i="4"/>
  <c r="M47" i="4"/>
  <c r="M48" i="4"/>
  <c r="M49" i="4"/>
  <c r="M50" i="4"/>
  <c r="M51" i="4"/>
  <c r="M52" i="4"/>
  <c r="M53" i="4"/>
  <c r="M54" i="4"/>
  <c r="M55" i="4"/>
  <c r="M56" i="4"/>
  <c r="M57" i="4"/>
  <c r="M58" i="4"/>
  <c r="M59" i="4"/>
  <c r="M60" i="4"/>
  <c r="M61" i="4"/>
  <c r="M62" i="4"/>
  <c r="M63" i="4"/>
  <c r="M64" i="4"/>
  <c r="M65" i="4"/>
  <c r="M66" i="4"/>
  <c r="M67" i="4"/>
  <c r="M68" i="4"/>
  <c r="M69" i="4"/>
  <c r="M70" i="4"/>
  <c r="M71" i="4"/>
  <c r="M72" i="4"/>
  <c r="M73" i="4"/>
  <c r="M74" i="4"/>
  <c r="M75" i="4"/>
  <c r="M76" i="4"/>
  <c r="M77" i="4"/>
  <c r="M78" i="4"/>
  <c r="M79" i="4"/>
  <c r="M80" i="4"/>
  <c r="M81" i="4"/>
  <c r="M82" i="4"/>
  <c r="M83" i="4"/>
  <c r="M84" i="4"/>
  <c r="M85" i="4"/>
  <c r="M86" i="4"/>
  <c r="M87" i="4"/>
  <c r="M88" i="4"/>
  <c r="M89" i="4"/>
  <c r="M90" i="4"/>
  <c r="M91" i="4"/>
  <c r="M92" i="4"/>
  <c r="M93" i="4"/>
  <c r="M94" i="4"/>
  <c r="M95" i="4"/>
  <c r="M96" i="4"/>
  <c r="M97" i="4"/>
  <c r="M98" i="4"/>
  <c r="M99" i="4"/>
  <c r="M100" i="4"/>
  <c r="M101" i="4"/>
  <c r="M102" i="4"/>
  <c r="M103" i="4"/>
  <c r="M104" i="4"/>
  <c r="M105" i="4"/>
  <c r="M106" i="4"/>
  <c r="M107" i="4"/>
  <c r="M108" i="4"/>
  <c r="M109" i="4"/>
  <c r="M110" i="4"/>
  <c r="M111" i="4"/>
  <c r="M112" i="4"/>
  <c r="M113" i="4"/>
  <c r="M114" i="4"/>
  <c r="M115" i="4"/>
  <c r="M116" i="4"/>
  <c r="M117" i="4"/>
  <c r="M118" i="4"/>
  <c r="M119" i="4"/>
  <c r="M120" i="4"/>
  <c r="M121" i="4"/>
  <c r="M122" i="4"/>
  <c r="M123" i="4"/>
  <c r="M124" i="4"/>
  <c r="M125" i="4"/>
  <c r="M126" i="4"/>
  <c r="M127" i="4"/>
  <c r="M128" i="4"/>
  <c r="M129" i="4"/>
  <c r="M130" i="4"/>
  <c r="M131" i="4"/>
  <c r="M132" i="4"/>
  <c r="M133" i="4"/>
  <c r="M134" i="4"/>
  <c r="M135" i="4"/>
  <c r="M136" i="4"/>
  <c r="M137" i="4"/>
  <c r="M138" i="4"/>
  <c r="M139" i="4"/>
  <c r="M140" i="4"/>
  <c r="M141" i="4"/>
  <c r="M142" i="4"/>
  <c r="M143" i="4"/>
  <c r="M144" i="4"/>
  <c r="M145" i="4"/>
  <c r="M146" i="4"/>
  <c r="M147" i="4"/>
  <c r="M148" i="4"/>
  <c r="M149" i="4"/>
  <c r="M150" i="4"/>
  <c r="M151" i="4"/>
  <c r="M152" i="4"/>
  <c r="M153" i="4"/>
  <c r="M154" i="4"/>
  <c r="M155" i="4"/>
  <c r="M156" i="4"/>
  <c r="M157" i="4"/>
  <c r="M158" i="4"/>
  <c r="M159" i="4"/>
  <c r="M160" i="4"/>
  <c r="M161" i="4"/>
  <c r="M162" i="4"/>
  <c r="M163" i="4"/>
  <c r="M164" i="4"/>
  <c r="M165" i="4"/>
  <c r="M166" i="4"/>
  <c r="M167" i="4"/>
  <c r="M168" i="4"/>
  <c r="M169" i="4"/>
  <c r="M170" i="4"/>
  <c r="M171" i="4"/>
  <c r="M172" i="4"/>
  <c r="M173" i="4"/>
  <c r="M174" i="4"/>
  <c r="M175" i="4"/>
  <c r="M176" i="4"/>
  <c r="M177" i="4"/>
  <c r="M178" i="4"/>
  <c r="M179" i="4"/>
  <c r="M180" i="4"/>
  <c r="M181" i="4"/>
  <c r="M182" i="4"/>
  <c r="M183" i="4"/>
  <c r="M184" i="4"/>
  <c r="M185" i="4"/>
  <c r="M186" i="4"/>
  <c r="M187" i="4"/>
  <c r="M188" i="4"/>
  <c r="M189" i="4"/>
  <c r="M190" i="4"/>
  <c r="M191" i="4"/>
  <c r="M192" i="4"/>
  <c r="M193" i="4"/>
  <c r="M194" i="4"/>
  <c r="M195" i="4"/>
  <c r="M196" i="4"/>
  <c r="M197" i="4"/>
  <c r="M198" i="4"/>
  <c r="M199" i="4"/>
  <c r="M200" i="4"/>
  <c r="M201" i="4"/>
  <c r="M202" i="4"/>
  <c r="M203" i="4"/>
  <c r="M204" i="4"/>
  <c r="M205" i="4"/>
  <c r="M206" i="4"/>
  <c r="M207" i="4"/>
  <c r="M208" i="4"/>
  <c r="M209" i="4"/>
  <c r="M210" i="4"/>
  <c r="M211" i="4"/>
  <c r="M212" i="4"/>
  <c r="M213" i="4"/>
  <c r="M214" i="4"/>
  <c r="M215" i="4"/>
  <c r="M216" i="4"/>
  <c r="M217" i="4"/>
  <c r="M218" i="4"/>
  <c r="M219" i="4"/>
  <c r="M220" i="4"/>
  <c r="M221" i="4"/>
  <c r="M222" i="4"/>
  <c r="M223" i="4"/>
  <c r="M224" i="4"/>
  <c r="M225" i="4"/>
  <c r="M226" i="4"/>
  <c r="M227" i="4"/>
  <c r="M228" i="4"/>
  <c r="M229" i="4"/>
  <c r="M230" i="4"/>
  <c r="M231" i="4"/>
  <c r="M232" i="4"/>
  <c r="M233" i="4"/>
  <c r="M234" i="4"/>
  <c r="M235" i="4"/>
  <c r="M236" i="4"/>
  <c r="M237" i="4"/>
  <c r="M238" i="4"/>
  <c r="M239" i="4"/>
  <c r="M240" i="4"/>
  <c r="M241" i="4"/>
  <c r="M242" i="4"/>
  <c r="M243" i="4"/>
  <c r="M244" i="4"/>
  <c r="M245" i="4"/>
  <c r="M246" i="4"/>
  <c r="M247" i="4"/>
  <c r="M248" i="4"/>
  <c r="M249" i="4"/>
  <c r="M250" i="4"/>
  <c r="M251" i="4"/>
  <c r="M252" i="4"/>
  <c r="M4" i="4"/>
</calcChain>
</file>

<file path=xl/sharedStrings.xml><?xml version="1.0" encoding="utf-8"?>
<sst xmlns="http://schemas.openxmlformats.org/spreadsheetml/2006/main" count="9240" uniqueCount="8820">
  <si>
    <t>Version</t>
  </si>
  <si>
    <t>Date</t>
  </si>
  <si>
    <t>Author</t>
  </si>
  <si>
    <t>Description</t>
  </si>
  <si>
    <t>Initialization of the document</t>
  </si>
  <si>
    <t>V0.1</t>
  </si>
  <si>
    <t>Pastel GBETOHO</t>
  </si>
  <si>
    <t>INTRODCUTION</t>
  </si>
  <si>
    <t>Business glossary</t>
  </si>
  <si>
    <t>Business data object</t>
  </si>
  <si>
    <t>Business data element</t>
  </si>
  <si>
    <t>Data dictionary</t>
  </si>
  <si>
    <t>Application</t>
  </si>
  <si>
    <t>Database</t>
  </si>
  <si>
    <t>Dataset</t>
  </si>
  <si>
    <t>Datafield</t>
  </si>
  <si>
    <t>Usage</t>
  </si>
  <si>
    <t>Data processing activity</t>
  </si>
  <si>
    <t>Data transfer</t>
  </si>
  <si>
    <t>Business data issue</t>
  </si>
  <si>
    <t>Metadata assocation</t>
  </si>
  <si>
    <t>Environment</t>
  </si>
  <si>
    <t>Reference</t>
  </si>
  <si>
    <t>Name</t>
  </si>
  <si>
    <t/>
  </si>
  <si>
    <t>Master Data Object</t>
  </si>
  <si>
    <t>ID</t>
  </si>
  <si>
    <t>Personal Data Sensitivity</t>
  </si>
  <si>
    <t>Personal Data Category</t>
  </si>
  <si>
    <t>Confidentiality Level</t>
  </si>
  <si>
    <t>Application Owner</t>
  </si>
  <si>
    <t>Purposes Of Processing</t>
  </si>
  <si>
    <t>Personal Data Processing</t>
  </si>
  <si>
    <t>Is a DPIA required?</t>
  </si>
  <si>
    <t>Comment About DPIA</t>
  </si>
  <si>
    <t>Joint Controller Name</t>
  </si>
  <si>
    <t>Is the policy applied?</t>
  </si>
  <si>
    <t>Reasons for not adhering</t>
  </si>
  <si>
    <t>Attachment-URL</t>
  </si>
  <si>
    <t>Legal Entity Role</t>
  </si>
  <si>
    <t>Legal Entity In Charge</t>
  </si>
  <si>
    <t>Biometric data</t>
  </si>
  <si>
    <t>Banking information</t>
  </si>
  <si>
    <t>Genetic data</t>
  </si>
  <si>
    <t>Geolocalisation data</t>
  </si>
  <si>
    <t>Judicial data</t>
  </si>
  <si>
    <t>Medical data</t>
  </si>
  <si>
    <t>Personal life</t>
  </si>
  <si>
    <t>Professional life</t>
  </si>
  <si>
    <t>Trade union membership</t>
  </si>
  <si>
    <t>Assets and Contracts information</t>
  </si>
  <si>
    <t>Authentication data</t>
  </si>
  <si>
    <t>Political opinions, religious beliefs and philosophical beliefs</t>
  </si>
  <si>
    <t>Identity and contact information</t>
  </si>
  <si>
    <t>Disabilities and Social information</t>
  </si>
  <si>
    <t>External identification number</t>
  </si>
  <si>
    <t>Economic and financial information</t>
  </si>
  <si>
    <t>Health data not collected during a medical exam</t>
  </si>
  <si>
    <t>Internal identification number</t>
  </si>
  <si>
    <t>Connection and Telecommunication information</t>
  </si>
  <si>
    <t>Non-personal data</t>
  </si>
  <si>
    <t>Racial or ethnic origin</t>
  </si>
  <si>
    <t>Sexual life or sexual orientation data</t>
  </si>
  <si>
    <t>Unique and permanent identification number</t>
  </si>
  <si>
    <t>General personal data</t>
  </si>
  <si>
    <t>Sensitive personal data</t>
  </si>
  <si>
    <t>Secret</t>
  </si>
  <si>
    <t>Confidential</t>
  </si>
  <si>
    <t>Internal</t>
  </si>
  <si>
    <t>Public</t>
  </si>
  <si>
    <t>Boolean</t>
  </si>
  <si>
    <t>True</t>
  </si>
  <si>
    <t>False</t>
  </si>
  <si>
    <t>Controller</t>
  </si>
  <si>
    <t>Joint Controller</t>
  </si>
  <si>
    <t>Processor</t>
  </si>
  <si>
    <t>Comment About Transfer</t>
  </si>
  <si>
    <t>Transfer To Third Country</t>
  </si>
  <si>
    <t>Transfer To</t>
  </si>
  <si>
    <t>Recipient Category</t>
  </si>
  <si>
    <t>Recipient</t>
  </si>
  <si>
    <t>Legal Basis For Transfer</t>
  </si>
  <si>
    <t>Other AXA entity</t>
  </si>
  <si>
    <t>Government body</t>
  </si>
  <si>
    <t>Provider or partner</t>
  </si>
  <si>
    <t>Internal Department (within AXA entity)</t>
  </si>
  <si>
    <t>Controller BCR</t>
  </si>
  <si>
    <t>Processor BCR</t>
  </si>
  <si>
    <t>Approved code of conduct / certification</t>
  </si>
  <si>
    <t>Standard data protection clauses</t>
  </si>
  <si>
    <t>Data Retention Policy-URL</t>
  </si>
  <si>
    <t>Product Portfolio Management</t>
  </si>
  <si>
    <t>Contract Risk Evaluation</t>
  </si>
  <si>
    <t>Contract Lifecycle Management</t>
  </si>
  <si>
    <t>Contract Portfolio Management</t>
  </si>
  <si>
    <t>Claims Management</t>
  </si>
  <si>
    <t>Home</t>
  </si>
  <si>
    <t>Motor</t>
  </si>
  <si>
    <t>Travel</t>
  </si>
  <si>
    <t>Health</t>
  </si>
  <si>
    <t>Adecco</t>
  </si>
  <si>
    <t>Amazon Web Services (AWS)</t>
  </si>
  <si>
    <t>American Express</t>
  </si>
  <si>
    <t>Avaya</t>
  </si>
  <si>
    <t>AXA Belgium</t>
  </si>
  <si>
    <t>AXA Group GIE</t>
  </si>
  <si>
    <t>Bank of Ireland</t>
  </si>
  <si>
    <t>Barclay Bank</t>
  </si>
  <si>
    <t>BNP Paribas</t>
  </si>
  <si>
    <t>Capgemini</t>
  </si>
  <si>
    <t>Deloitte</t>
  </si>
  <si>
    <t>Doctors</t>
  </si>
  <si>
    <t>ECC Insurance Brokers</t>
  </si>
  <si>
    <t>Enterprise Rent-A-Car</t>
  </si>
  <si>
    <t>Facebook</t>
  </si>
  <si>
    <t>Glassdoor</t>
  </si>
  <si>
    <t>Google</t>
  </si>
  <si>
    <t>Hospitals</t>
  </si>
  <si>
    <t>IBM</t>
  </si>
  <si>
    <t>Mastercard Expensa</t>
  </si>
  <si>
    <t>Microsoft</t>
  </si>
  <si>
    <t>Staffing and Recruitment providers</t>
  </si>
  <si>
    <t>Taxis</t>
  </si>
  <si>
    <t>AD</t>
  </si>
  <si>
    <t>Andorra</t>
  </si>
  <si>
    <t>AE</t>
  </si>
  <si>
    <t>United Arab Emirates</t>
  </si>
  <si>
    <t>AF</t>
  </si>
  <si>
    <t>Afghanistan</t>
  </si>
  <si>
    <t>AG</t>
  </si>
  <si>
    <t>Antigua and Barbuda</t>
  </si>
  <si>
    <t>AI</t>
  </si>
  <si>
    <t>Anguilla</t>
  </si>
  <si>
    <t>AL</t>
  </si>
  <si>
    <t>Albania</t>
  </si>
  <si>
    <t>AM</t>
  </si>
  <si>
    <t>Armenia</t>
  </si>
  <si>
    <t>AO</t>
  </si>
  <si>
    <t>Angola</t>
  </si>
  <si>
    <t>AQ</t>
  </si>
  <si>
    <t>Antarctica</t>
  </si>
  <si>
    <t>AR</t>
  </si>
  <si>
    <t>Argentina</t>
  </si>
  <si>
    <t>AS</t>
  </si>
  <si>
    <t>American Samoa</t>
  </si>
  <si>
    <t>AT</t>
  </si>
  <si>
    <t>Austria</t>
  </si>
  <si>
    <t>AU</t>
  </si>
  <si>
    <t>Australia</t>
  </si>
  <si>
    <t>AW</t>
  </si>
  <si>
    <t>Aruba</t>
  </si>
  <si>
    <t>AX</t>
  </si>
  <si>
    <t>AZ</t>
  </si>
  <si>
    <t>Azerbaijan</t>
  </si>
  <si>
    <t>BA</t>
  </si>
  <si>
    <t>Bosnia and Herzegovina</t>
  </si>
  <si>
    <t>BB</t>
  </si>
  <si>
    <t>Barbados</t>
  </si>
  <si>
    <t>BD</t>
  </si>
  <si>
    <t>Bangladesh</t>
  </si>
  <si>
    <t>BE</t>
  </si>
  <si>
    <t>Belgium</t>
  </si>
  <si>
    <t>BF</t>
  </si>
  <si>
    <t>Burkina Faso</t>
  </si>
  <si>
    <t>BG</t>
  </si>
  <si>
    <t>Bulgaria</t>
  </si>
  <si>
    <t>BH</t>
  </si>
  <si>
    <t>Bahrain</t>
  </si>
  <si>
    <t>BI</t>
  </si>
  <si>
    <t>Burundi</t>
  </si>
  <si>
    <t>BJ</t>
  </si>
  <si>
    <t>Benin</t>
  </si>
  <si>
    <t>BL</t>
  </si>
  <si>
    <t>BM</t>
  </si>
  <si>
    <t>Bermuda</t>
  </si>
  <si>
    <t>BN</t>
  </si>
  <si>
    <t>Brunei Darussalam</t>
  </si>
  <si>
    <t>BO</t>
  </si>
  <si>
    <t>Bolivia, Plurinational State of</t>
  </si>
  <si>
    <t>BQ</t>
  </si>
  <si>
    <t>Bonaire, Sint Eustatius and Saba</t>
  </si>
  <si>
    <t>BR</t>
  </si>
  <si>
    <t>Brazil</t>
  </si>
  <si>
    <t>BS</t>
  </si>
  <si>
    <t>Bahamas</t>
  </si>
  <si>
    <t>BT</t>
  </si>
  <si>
    <t>Bhutan</t>
  </si>
  <si>
    <t>BV</t>
  </si>
  <si>
    <t>Bouvet Island</t>
  </si>
  <si>
    <t>BW</t>
  </si>
  <si>
    <t>Botswana</t>
  </si>
  <si>
    <t>BY</t>
  </si>
  <si>
    <t>Belarus</t>
  </si>
  <si>
    <t>BZ</t>
  </si>
  <si>
    <t>Belize</t>
  </si>
  <si>
    <t>CA</t>
  </si>
  <si>
    <t>Canada</t>
  </si>
  <si>
    <t>CC</t>
  </si>
  <si>
    <t>Cocos (Keeling) Islands</t>
  </si>
  <si>
    <t>CD</t>
  </si>
  <si>
    <t>Congo, the Democratic Republic of the</t>
  </si>
  <si>
    <t>CF</t>
  </si>
  <si>
    <t>Central African Republic</t>
  </si>
  <si>
    <t>CG</t>
  </si>
  <si>
    <t>Congo</t>
  </si>
  <si>
    <t>CH</t>
  </si>
  <si>
    <t>Switzerland</t>
  </si>
  <si>
    <t>CI</t>
  </si>
  <si>
    <t>CK</t>
  </si>
  <si>
    <t>Cook Islands</t>
  </si>
  <si>
    <t>CL</t>
  </si>
  <si>
    <t>Chile</t>
  </si>
  <si>
    <t>CM</t>
  </si>
  <si>
    <t>Cameroon</t>
  </si>
  <si>
    <t>CN</t>
  </si>
  <si>
    <t>China</t>
  </si>
  <si>
    <t>CO</t>
  </si>
  <si>
    <t>Colombia</t>
  </si>
  <si>
    <t>CR</t>
  </si>
  <si>
    <t>Costa Rica</t>
  </si>
  <si>
    <t>CU</t>
  </si>
  <si>
    <t>Cuba</t>
  </si>
  <si>
    <t>CV</t>
  </si>
  <si>
    <t>Cabo Verde</t>
  </si>
  <si>
    <t>CW</t>
  </si>
  <si>
    <t>Curaçao</t>
  </si>
  <si>
    <t>CX</t>
  </si>
  <si>
    <t>Christmas Island</t>
  </si>
  <si>
    <t>CY</t>
  </si>
  <si>
    <t>Cyprus</t>
  </si>
  <si>
    <t>CZ</t>
  </si>
  <si>
    <t>Czech Republic</t>
  </si>
  <si>
    <t>DE</t>
  </si>
  <si>
    <t>Germany</t>
  </si>
  <si>
    <t>DJ</t>
  </si>
  <si>
    <t>Djibouti</t>
  </si>
  <si>
    <t>DK</t>
  </si>
  <si>
    <t>Denmark</t>
  </si>
  <si>
    <t>DM</t>
  </si>
  <si>
    <t>Dominica</t>
  </si>
  <si>
    <t>DO</t>
  </si>
  <si>
    <t>Dominican Republic</t>
  </si>
  <si>
    <t>DZ</t>
  </si>
  <si>
    <t>Algeria</t>
  </si>
  <si>
    <t>EC</t>
  </si>
  <si>
    <t>Ecuador</t>
  </si>
  <si>
    <t>EE</t>
  </si>
  <si>
    <t>Estonia</t>
  </si>
  <si>
    <t>EG</t>
  </si>
  <si>
    <t>Egypt</t>
  </si>
  <si>
    <t>EH</t>
  </si>
  <si>
    <t>Western Sahara</t>
  </si>
  <si>
    <t>ER</t>
  </si>
  <si>
    <t>Eritrea</t>
  </si>
  <si>
    <t>ES</t>
  </si>
  <si>
    <t>Spain</t>
  </si>
  <si>
    <t>ET</t>
  </si>
  <si>
    <t>Ethiopia</t>
  </si>
  <si>
    <t>FI</t>
  </si>
  <si>
    <t>Finland</t>
  </si>
  <si>
    <t>FJ</t>
  </si>
  <si>
    <t>Fiji</t>
  </si>
  <si>
    <t>FK</t>
  </si>
  <si>
    <t>Falkland Islands (Malvinas)</t>
  </si>
  <si>
    <t>FM</t>
  </si>
  <si>
    <t>Micronesia, Federated States of</t>
  </si>
  <si>
    <t>FO</t>
  </si>
  <si>
    <t>Faroe Islands</t>
  </si>
  <si>
    <t>FR</t>
  </si>
  <si>
    <t>France</t>
  </si>
  <si>
    <t>GA</t>
  </si>
  <si>
    <t>Gabon</t>
  </si>
  <si>
    <t>GB</t>
  </si>
  <si>
    <t>United Kingdom</t>
  </si>
  <si>
    <t>GD</t>
  </si>
  <si>
    <t>Grenada</t>
  </si>
  <si>
    <t>GE</t>
  </si>
  <si>
    <t>Georgia</t>
  </si>
  <si>
    <t>GF</t>
  </si>
  <si>
    <t>French Guiana</t>
  </si>
  <si>
    <t>GG</t>
  </si>
  <si>
    <t>Guernsey</t>
  </si>
  <si>
    <t>GH</t>
  </si>
  <si>
    <t>Ghana</t>
  </si>
  <si>
    <t>GI</t>
  </si>
  <si>
    <t>Gibraltar</t>
  </si>
  <si>
    <t>GL</t>
  </si>
  <si>
    <t>Greenland</t>
  </si>
  <si>
    <t>GM</t>
  </si>
  <si>
    <t>Gambia</t>
  </si>
  <si>
    <t>GN</t>
  </si>
  <si>
    <t>Guinea</t>
  </si>
  <si>
    <t>GP</t>
  </si>
  <si>
    <t>Guadeloupe</t>
  </si>
  <si>
    <t>GQ</t>
  </si>
  <si>
    <t>Equatorial Guinea</t>
  </si>
  <si>
    <t>GR</t>
  </si>
  <si>
    <t>Greece</t>
  </si>
  <si>
    <t>GS</t>
  </si>
  <si>
    <t>South Georgia and the South Sandwich Islands</t>
  </si>
  <si>
    <t>GT</t>
  </si>
  <si>
    <t>Guatemala</t>
  </si>
  <si>
    <t>GU</t>
  </si>
  <si>
    <t>Guam</t>
  </si>
  <si>
    <t>GW</t>
  </si>
  <si>
    <t>Guinea-Bissau</t>
  </si>
  <si>
    <t>GY</t>
  </si>
  <si>
    <t>Guyana</t>
  </si>
  <si>
    <t>HK</t>
  </si>
  <si>
    <t>Hong Kong</t>
  </si>
  <si>
    <t>HM</t>
  </si>
  <si>
    <t>Heard Island and McDonald Islands</t>
  </si>
  <si>
    <t>HN</t>
  </si>
  <si>
    <t>Honduras</t>
  </si>
  <si>
    <t>HR</t>
  </si>
  <si>
    <t>Croatia</t>
  </si>
  <si>
    <t>HT</t>
  </si>
  <si>
    <t>Haiti</t>
  </si>
  <si>
    <t>HU</t>
  </si>
  <si>
    <t>Hungary</t>
  </si>
  <si>
    <t>Indonesia</t>
  </si>
  <si>
    <t>IE</t>
  </si>
  <si>
    <t>Ireland</t>
  </si>
  <si>
    <t>IL</t>
  </si>
  <si>
    <t>Israel</t>
  </si>
  <si>
    <t>IM</t>
  </si>
  <si>
    <t>Isle of Man</t>
  </si>
  <si>
    <t>IN</t>
  </si>
  <si>
    <t>India</t>
  </si>
  <si>
    <t>IO</t>
  </si>
  <si>
    <t>British Indian Ocean Territory</t>
  </si>
  <si>
    <t>IQ</t>
  </si>
  <si>
    <t>Iraq</t>
  </si>
  <si>
    <t>IR</t>
  </si>
  <si>
    <t>Iran, Islamic Republic of</t>
  </si>
  <si>
    <t>IS</t>
  </si>
  <si>
    <t>Iceland</t>
  </si>
  <si>
    <t>IT</t>
  </si>
  <si>
    <t>Italy</t>
  </si>
  <si>
    <t>JE</t>
  </si>
  <si>
    <t>Jersey</t>
  </si>
  <si>
    <t>JM</t>
  </si>
  <si>
    <t>Jamaica</t>
  </si>
  <si>
    <t>JO</t>
  </si>
  <si>
    <t>Jordan</t>
  </si>
  <si>
    <t>JP</t>
  </si>
  <si>
    <t>Japan</t>
  </si>
  <si>
    <t>KE</t>
  </si>
  <si>
    <t>Kenya</t>
  </si>
  <si>
    <t>KG</t>
  </si>
  <si>
    <t>Kyrgyzstan</t>
  </si>
  <si>
    <t>KH</t>
  </si>
  <si>
    <t>Cambodia</t>
  </si>
  <si>
    <t>KI</t>
  </si>
  <si>
    <t>Kiribati</t>
  </si>
  <si>
    <t>KM</t>
  </si>
  <si>
    <t>Comoros</t>
  </si>
  <si>
    <t>KN</t>
  </si>
  <si>
    <t>Saint Kitts and Nevis</t>
  </si>
  <si>
    <t>KP</t>
  </si>
  <si>
    <t>Korea, Democratic People's Republic of</t>
  </si>
  <si>
    <t>KR</t>
  </si>
  <si>
    <t>Korea, Republic of</t>
  </si>
  <si>
    <t>KW</t>
  </si>
  <si>
    <t>Kuwait</t>
  </si>
  <si>
    <t>KY</t>
  </si>
  <si>
    <t>Cayman Islands</t>
  </si>
  <si>
    <t>KZ</t>
  </si>
  <si>
    <t>Kazakhstan</t>
  </si>
  <si>
    <t>LA</t>
  </si>
  <si>
    <t>Lao People's Democratic Republic</t>
  </si>
  <si>
    <t>LB</t>
  </si>
  <si>
    <t>Lebanon</t>
  </si>
  <si>
    <t>LC</t>
  </si>
  <si>
    <t>Saint Lucia</t>
  </si>
  <si>
    <t>LI</t>
  </si>
  <si>
    <t>Liechtenstein</t>
  </si>
  <si>
    <t>LK</t>
  </si>
  <si>
    <t>Sri Lanka</t>
  </si>
  <si>
    <t>LR</t>
  </si>
  <si>
    <t>Liberia</t>
  </si>
  <si>
    <t>LS</t>
  </si>
  <si>
    <t>Lesotho</t>
  </si>
  <si>
    <t>LT</t>
  </si>
  <si>
    <t>Lithuania</t>
  </si>
  <si>
    <t>LU</t>
  </si>
  <si>
    <t>Luxembourg</t>
  </si>
  <si>
    <t>LV</t>
  </si>
  <si>
    <t>Latvia</t>
  </si>
  <si>
    <t>LY</t>
  </si>
  <si>
    <t>Libya</t>
  </si>
  <si>
    <t>MA</t>
  </si>
  <si>
    <t>Morocco</t>
  </si>
  <si>
    <t>MC</t>
  </si>
  <si>
    <t>Monaco</t>
  </si>
  <si>
    <t>MD</t>
  </si>
  <si>
    <t>Moldova, Republic of</t>
  </si>
  <si>
    <t>ME</t>
  </si>
  <si>
    <t>Montenegro</t>
  </si>
  <si>
    <t>MF</t>
  </si>
  <si>
    <t>Saint Martin (French part)</t>
  </si>
  <si>
    <t>MG</t>
  </si>
  <si>
    <t>Madagascar</t>
  </si>
  <si>
    <t>MH</t>
  </si>
  <si>
    <t>Marshall Islands</t>
  </si>
  <si>
    <t>MK</t>
  </si>
  <si>
    <t>Macedonia, the former Yugoslav Republic of</t>
  </si>
  <si>
    <t>ML</t>
  </si>
  <si>
    <t>Mali</t>
  </si>
  <si>
    <t>MM</t>
  </si>
  <si>
    <t>Myanmar</t>
  </si>
  <si>
    <t>MN</t>
  </si>
  <si>
    <t>Mongolia</t>
  </si>
  <si>
    <t>MO</t>
  </si>
  <si>
    <t>Macao</t>
  </si>
  <si>
    <t>MP</t>
  </si>
  <si>
    <t>Northern Mariana Islands</t>
  </si>
  <si>
    <t>MQ</t>
  </si>
  <si>
    <t>Martinique</t>
  </si>
  <si>
    <t>MR</t>
  </si>
  <si>
    <t>Mauritania</t>
  </si>
  <si>
    <t>MS</t>
  </si>
  <si>
    <t>Montserrat</t>
  </si>
  <si>
    <t>MT</t>
  </si>
  <si>
    <t>Malta</t>
  </si>
  <si>
    <t>MU</t>
  </si>
  <si>
    <t>Mauritius</t>
  </si>
  <si>
    <t>MV</t>
  </si>
  <si>
    <t>Maldives</t>
  </si>
  <si>
    <t>MW</t>
  </si>
  <si>
    <t>Malawi</t>
  </si>
  <si>
    <t>MX</t>
  </si>
  <si>
    <t>Mexico</t>
  </si>
  <si>
    <t>MY</t>
  </si>
  <si>
    <t>Malaysia</t>
  </si>
  <si>
    <t>MZ</t>
  </si>
  <si>
    <t>Mozambique</t>
  </si>
  <si>
    <t>NA</t>
  </si>
  <si>
    <t>Namibia</t>
  </si>
  <si>
    <t>NC</t>
  </si>
  <si>
    <t>New Caledonia</t>
  </si>
  <si>
    <t>NE</t>
  </si>
  <si>
    <t>Niger</t>
  </si>
  <si>
    <t>NF</t>
  </si>
  <si>
    <t>Norfolk Island</t>
  </si>
  <si>
    <t>NG</t>
  </si>
  <si>
    <t>Nigeria</t>
  </si>
  <si>
    <t>NI</t>
  </si>
  <si>
    <t>Nicaragua</t>
  </si>
  <si>
    <t>NL</t>
  </si>
  <si>
    <t>Netherlands</t>
  </si>
  <si>
    <t>NO</t>
  </si>
  <si>
    <t>Norway</t>
  </si>
  <si>
    <t>NP</t>
  </si>
  <si>
    <t>Nepal</t>
  </si>
  <si>
    <t>NR</t>
  </si>
  <si>
    <t>Nauru</t>
  </si>
  <si>
    <t>NU</t>
  </si>
  <si>
    <t>Niue</t>
  </si>
  <si>
    <t>NZ</t>
  </si>
  <si>
    <t>New Zealand</t>
  </si>
  <si>
    <t>OM</t>
  </si>
  <si>
    <t>Oman</t>
  </si>
  <si>
    <t>PA</t>
  </si>
  <si>
    <t>Panama</t>
  </si>
  <si>
    <t>PE</t>
  </si>
  <si>
    <t>Peru</t>
  </si>
  <si>
    <t>PF</t>
  </si>
  <si>
    <t>French Polynesia</t>
  </si>
  <si>
    <t>PG</t>
  </si>
  <si>
    <t>Papua New Guinea</t>
  </si>
  <si>
    <t>PH</t>
  </si>
  <si>
    <t>Philippines</t>
  </si>
  <si>
    <t>PK</t>
  </si>
  <si>
    <t>Pakistan</t>
  </si>
  <si>
    <t>PL</t>
  </si>
  <si>
    <t>Poland</t>
  </si>
  <si>
    <t>PM</t>
  </si>
  <si>
    <t>Saint Pierre and Miquelon</t>
  </si>
  <si>
    <t>PN</t>
  </si>
  <si>
    <t>Pitcairn</t>
  </si>
  <si>
    <t>PR</t>
  </si>
  <si>
    <t>Puerto Rico</t>
  </si>
  <si>
    <t>PS</t>
  </si>
  <si>
    <t>Palestine, State of</t>
  </si>
  <si>
    <t>PT</t>
  </si>
  <si>
    <t>Portugal</t>
  </si>
  <si>
    <t>PW</t>
  </si>
  <si>
    <t>Palau</t>
  </si>
  <si>
    <t>PY</t>
  </si>
  <si>
    <t>Paraguay</t>
  </si>
  <si>
    <t>QA</t>
  </si>
  <si>
    <t>Qatar</t>
  </si>
  <si>
    <t>RE</t>
  </si>
  <si>
    <t>RO</t>
  </si>
  <si>
    <t>Romania</t>
  </si>
  <si>
    <t>RS</t>
  </si>
  <si>
    <t>Serbia</t>
  </si>
  <si>
    <t>RU</t>
  </si>
  <si>
    <t>Russian Federation</t>
  </si>
  <si>
    <t>RW</t>
  </si>
  <si>
    <t>Rwanda</t>
  </si>
  <si>
    <t>SA</t>
  </si>
  <si>
    <t>Saudi Arabia</t>
  </si>
  <si>
    <t>SB</t>
  </si>
  <si>
    <t>Solomon Islands</t>
  </si>
  <si>
    <t>SC</t>
  </si>
  <si>
    <t>Seychelles</t>
  </si>
  <si>
    <t>SD</t>
  </si>
  <si>
    <t>Sudan</t>
  </si>
  <si>
    <t>SE</t>
  </si>
  <si>
    <t>Sweden</t>
  </si>
  <si>
    <t>SG</t>
  </si>
  <si>
    <t>Singapore</t>
  </si>
  <si>
    <t>SH</t>
  </si>
  <si>
    <t>Saint Helena, Ascension and Tristan da Cunha</t>
  </si>
  <si>
    <t>SI</t>
  </si>
  <si>
    <t>Slovenia</t>
  </si>
  <si>
    <t>SJ</t>
  </si>
  <si>
    <t>Svalbard and Jan Mayen</t>
  </si>
  <si>
    <t>SK</t>
  </si>
  <si>
    <t>Slovakia</t>
  </si>
  <si>
    <t>SL</t>
  </si>
  <si>
    <t>Sierra Leone</t>
  </si>
  <si>
    <t>SM</t>
  </si>
  <si>
    <t>San Marino</t>
  </si>
  <si>
    <t>SN</t>
  </si>
  <si>
    <t>Senegal</t>
  </si>
  <si>
    <t>SO</t>
  </si>
  <si>
    <t>Somalia</t>
  </si>
  <si>
    <t>SR</t>
  </si>
  <si>
    <t>Suriname</t>
  </si>
  <si>
    <t>SS</t>
  </si>
  <si>
    <t>South Sudan</t>
  </si>
  <si>
    <t>ST</t>
  </si>
  <si>
    <t>Sao Tome and Principe</t>
  </si>
  <si>
    <t>SV</t>
  </si>
  <si>
    <t>El Salvador</t>
  </si>
  <si>
    <t>SX</t>
  </si>
  <si>
    <t>Sint Maarten (Dutch part)</t>
  </si>
  <si>
    <t>SY</t>
  </si>
  <si>
    <t>Syrian Arab Republic</t>
  </si>
  <si>
    <t>SZ</t>
  </si>
  <si>
    <t>Swaziland</t>
  </si>
  <si>
    <t>TC</t>
  </si>
  <si>
    <t>Turks and Caicos Islands</t>
  </si>
  <si>
    <t>TD</t>
  </si>
  <si>
    <t>Chad</t>
  </si>
  <si>
    <t>TF</t>
  </si>
  <si>
    <t>French Southern Territories</t>
  </si>
  <si>
    <t>TG</t>
  </si>
  <si>
    <t>Togo</t>
  </si>
  <si>
    <t>TH</t>
  </si>
  <si>
    <t>Thailand</t>
  </si>
  <si>
    <t>TJ</t>
  </si>
  <si>
    <t>Tajikistan</t>
  </si>
  <si>
    <t>TK</t>
  </si>
  <si>
    <t>Tokelau</t>
  </si>
  <si>
    <t>TL</t>
  </si>
  <si>
    <t>Timor-Leste</t>
  </si>
  <si>
    <t>TM</t>
  </si>
  <si>
    <t>Turkmenistan</t>
  </si>
  <si>
    <t>TN</t>
  </si>
  <si>
    <t>Tunisia</t>
  </si>
  <si>
    <t>TO</t>
  </si>
  <si>
    <t>Tonga</t>
  </si>
  <si>
    <t>TR</t>
  </si>
  <si>
    <t>Turkey</t>
  </si>
  <si>
    <t>TT</t>
  </si>
  <si>
    <t>Trinidad and Tobago</t>
  </si>
  <si>
    <t>TV</t>
  </si>
  <si>
    <t>Tuvalu</t>
  </si>
  <si>
    <t>TW</t>
  </si>
  <si>
    <t>Taiwan, Province of China</t>
  </si>
  <si>
    <t>TZ</t>
  </si>
  <si>
    <t>Tanzania, United Republic of</t>
  </si>
  <si>
    <t>UA</t>
  </si>
  <si>
    <t>Ukraine</t>
  </si>
  <si>
    <t>UG</t>
  </si>
  <si>
    <t>Uganda</t>
  </si>
  <si>
    <t>UM</t>
  </si>
  <si>
    <t>United States Minor Outlying Islands</t>
  </si>
  <si>
    <t>US</t>
  </si>
  <si>
    <t>United States</t>
  </si>
  <si>
    <t>UY</t>
  </si>
  <si>
    <t>Uruguay</t>
  </si>
  <si>
    <t>UZ</t>
  </si>
  <si>
    <t>Uzbekistan</t>
  </si>
  <si>
    <t>VA</t>
  </si>
  <si>
    <t>Holy See (Vatican City State)</t>
  </si>
  <si>
    <t>VC</t>
  </si>
  <si>
    <t>Saint Vincent and the Grenadines</t>
  </si>
  <si>
    <t>VE</t>
  </si>
  <si>
    <t>Venezuela, Bolivarian Republic of</t>
  </si>
  <si>
    <t>VG</t>
  </si>
  <si>
    <t>Virgin Islands, British</t>
  </si>
  <si>
    <t>VI</t>
  </si>
  <si>
    <t>Virgin Islands, U.S.</t>
  </si>
  <si>
    <t>VN</t>
  </si>
  <si>
    <t>Viet Nam</t>
  </si>
  <si>
    <t>VU</t>
  </si>
  <si>
    <t>Vanuatu</t>
  </si>
  <si>
    <t>WF</t>
  </si>
  <si>
    <t>Wallis and Futuna</t>
  </si>
  <si>
    <t>WS</t>
  </si>
  <si>
    <t>Samoa</t>
  </si>
  <si>
    <t>YE</t>
  </si>
  <si>
    <t>Yemen</t>
  </si>
  <si>
    <t>YT</t>
  </si>
  <si>
    <t>Mayotte</t>
  </si>
  <si>
    <t>ZA</t>
  </si>
  <si>
    <t>South Africa</t>
  </si>
  <si>
    <t>ZM</t>
  </si>
  <si>
    <t>Zambia</t>
  </si>
  <si>
    <t>ZW</t>
  </si>
  <si>
    <t>Zimbabwe</t>
  </si>
  <si>
    <t>Country</t>
  </si>
  <si>
    <t xml:space="preserve">A legal agreement between an insurer and the insured, describing the contract terms, coverages, premiums, deductibles, limits, promise to pay claims, etc. Examples include: Health Insurance Contract, Life Insurance Contract, Property and Casualty Contract. </t>
  </si>
  <si>
    <t>Policy</t>
  </si>
  <si>
    <t>Coverage</t>
  </si>
  <si>
    <t xml:space="preserve">A financial services agreement component detailing the circumstances under which a benefit (money or services) will be paid. Effectively this provides protection against a particular risk. In property insurance, coverage identifies elements such as perils insured against, properties covered, locations covered, individuals insured and the limits of indemnification. In life insurance, a coverage identifies elements such as living and death benefits. 
e.g: Critical illness benefit, part of John's life policy. </t>
  </si>
  <si>
    <t>Claim</t>
  </si>
  <si>
    <t>A claim is a demand by a party to obtain money or enforcement of a right or benefit.
A claim can be related to an agreement, a loss event, and/or an assessment.
If a loss event occurs, a claim may be created. One event may generate several claims, if several contracts are impacted.
If an assessment occurs, a claim may be created. For example, a person may have a medical assessment (e.g. dental examination) that leads to a claim.
Claims can be associated with other claims, each of them being related to an agreement and possibly many claim coverages.</t>
  </si>
  <si>
    <t>Policy Identifier</t>
  </si>
  <si>
    <t>The unique identifier of an insurance policy in the information system.Can differs from the public ID communicated to the customer.</t>
  </si>
  <si>
    <t>Effective Start Date</t>
  </si>
  <si>
    <t>The date on which the policy coverage takes effect for the current term. Can be updated in case of change of the insured object</t>
  </si>
  <si>
    <t>Initial Effective Date</t>
  </si>
  <si>
    <t>The date on which the policy coverage have taken effect for the first time</t>
  </si>
  <si>
    <t>Expiration Date</t>
  </si>
  <si>
    <t>The date on which the policy coverage stops</t>
  </si>
  <si>
    <t>Expiration Description</t>
  </si>
  <si>
    <t>Describe the end of coverage, when not a date</t>
  </si>
  <si>
    <t>Policy Number</t>
  </si>
  <si>
    <t>Identifier of an insurance policy communicated to the customer: the one to show on a digital application. For group policy, the subscription id 
ACORD-The unique identifier assigned to the agreement (e.g. policy, contract, submission, etc.) or agreement component being referenced. If required for a self-insurance agreement, the self-insured license or contract number.</t>
  </si>
  <si>
    <t>The current status of the insurance policy within the life-cycle model.</t>
  </si>
  <si>
    <t>Policy Status Code</t>
  </si>
  <si>
    <t>Identifier</t>
  </si>
  <si>
    <t>The unique identifier assigned to the agreement component.</t>
  </si>
  <si>
    <t>This represents the name of the agreement component.</t>
  </si>
  <si>
    <t>This is a textual description of the agreement component.</t>
  </si>
  <si>
    <t>Number</t>
  </si>
  <si>
    <t>Closure Date</t>
  </si>
  <si>
    <t>The date of closure of the loss (from the customer point of view)</t>
  </si>
  <si>
    <t>Claim Status Code</t>
  </si>
  <si>
    <t>Gives the status of a Claim.</t>
  </si>
  <si>
    <t>The unique identifier assigned to claim. This is commonly known as the "claim number" and may include prefixes which identify a claims office, or suffixes that break occurrences down into separate claims, layers, or sub files.</t>
  </si>
  <si>
    <t>Contract Administration</t>
  </si>
  <si>
    <t>Managing the lifecycle administration of the contract (e.g. Mid-Term Adjustments)</t>
  </si>
  <si>
    <t>Contract Renewal</t>
  </si>
  <si>
    <t>Managing the renewal of the contract upon the agreed expiry date</t>
  </si>
  <si>
    <t>Contract Billing</t>
  </si>
  <si>
    <t>Invoicing customers and distributors for the product sold / contract issued</t>
  </si>
  <si>
    <t>Claim Estimation</t>
  </si>
  <si>
    <t>Ensuring adequate and appropriate claim reserves are calculated and recorded (e.g. the applicability of excesses, contributions, limits, deductibles , matrix estimates or day one estimates)</t>
  </si>
  <si>
    <t>Claim Payment</t>
  </si>
  <si>
    <t>Calculating, issuing and recording the settlement due to the customer, their proxy or a supplier</t>
  </si>
  <si>
    <t>PolicyIdentifier</t>
  </si>
  <si>
    <t>PolicyNumber</t>
  </si>
  <si>
    <t>PolicyStatusCode</t>
  </si>
  <si>
    <t>EffectiveStartDate</t>
  </si>
  <si>
    <t>InitialEffectiveDate</t>
  </si>
  <si>
    <t>ExpirationDate</t>
  </si>
  <si>
    <t>ExpirationDescription</t>
  </si>
  <si>
    <t>ContractAdministration</t>
  </si>
  <si>
    <t>ContractRenewal</t>
  </si>
  <si>
    <t>ContractBilling</t>
  </si>
  <si>
    <t>ClaimEstimation</t>
  </si>
  <si>
    <t>ClaimPayment</t>
  </si>
  <si>
    <t>AXA ZZ</t>
  </si>
  <si>
    <t>AXA YY</t>
  </si>
  <si>
    <t>Additional Documentation-URL</t>
  </si>
  <si>
    <t>Finance BU</t>
  </si>
  <si>
    <t xml:space="preserve">Rogers Capital </t>
  </si>
  <si>
    <t>FBUcontract</t>
  </si>
  <si>
    <t>Insurance Billing Outsourcing</t>
  </si>
  <si>
    <t xml:space="preserve">Transfer outside of the EU: YES / Transfer covered by BCR: YES / Transf covered by other mechanism? ; Insurance Billing Outsourcing Contract </t>
  </si>
  <si>
    <t xml:space="preserve">Transfer outside of the EU: YES / Transfer covered by BCR: YES / Transf covered by other mechanism? ; Rogers Capital Contract </t>
  </si>
  <si>
    <t>RCcontract</t>
  </si>
  <si>
    <t>IBOclaim</t>
  </si>
  <si>
    <t>Guidewire Policy Center</t>
  </si>
  <si>
    <t>Guidewire Claim Center</t>
  </si>
  <si>
    <t>Guidewire PROD</t>
  </si>
  <si>
    <t>Type</t>
  </si>
  <si>
    <t>UAT</t>
  </si>
  <si>
    <t>QUAL</t>
  </si>
  <si>
    <t>DEV</t>
  </si>
  <si>
    <t>Engine</t>
  </si>
  <si>
    <t>Data Custodian</t>
  </si>
  <si>
    <t>Azure</t>
  </si>
  <si>
    <t>IBM DB2</t>
  </si>
  <si>
    <t>Apache Hive</t>
  </si>
  <si>
    <t>Microsoft SQL Server</t>
  </si>
  <si>
    <t>MongoDB</t>
  </si>
  <si>
    <t>Oracle Database</t>
  </si>
  <si>
    <t>Database Engine</t>
  </si>
  <si>
    <t>POLICY_ORAPRD</t>
  </si>
  <si>
    <t>CLAIM_ORAPRD</t>
  </si>
  <si>
    <t>Claim center PROD</t>
  </si>
  <si>
    <t>Policy center PROD</t>
  </si>
  <si>
    <t>Data Type</t>
  </si>
  <si>
    <t>Mandatory</t>
  </si>
  <si>
    <t>Maximum Length</t>
  </si>
  <si>
    <t>int</t>
  </si>
  <si>
    <t>nvarchar</t>
  </si>
  <si>
    <t>Guidewire policy center prod oracle database</t>
  </si>
  <si>
    <t>Guidewire claim center prod oracle database</t>
  </si>
  <si>
    <t>Dataset Type</t>
  </si>
  <si>
    <t>Database table</t>
  </si>
  <si>
    <t>File</t>
  </si>
  <si>
    <t>Folder</t>
  </si>
  <si>
    <t>Aland Islands</t>
  </si>
  <si>
    <t>Saint Barthelemy</t>
  </si>
  <si>
    <t>Cote d'Ivoire</t>
  </si>
  <si>
    <t>Reunion</t>
  </si>
  <si>
    <t>Data Quality Dimension - Reference</t>
  </si>
  <si>
    <t>CA001</t>
  </si>
  <si>
    <t>CA002</t>
  </si>
  <si>
    <t>Scope: all cases involving vehicle repair or vehicle towing services.
General rule: this rule checks if address information related to places where events causing cases occured is filled.</t>
  </si>
  <si>
    <t>CA003</t>
  </si>
  <si>
    <t>Scope: all cases involving vehicle repair or vehicle towing services.
General rule: this rule checks if GPS coordinates related to places where events causing cases occured is filled.</t>
  </si>
  <si>
    <t>Metadata governance</t>
  </si>
  <si>
    <t>Subject area</t>
  </si>
  <si>
    <t>Business area</t>
  </si>
  <si>
    <t>Additional Documentation URL</t>
  </si>
  <si>
    <t>Myurl</t>
  </si>
  <si>
    <t>This is the business rule providing the details of the retention rule to apply for cases in order to fulfill the retention requirements (as part of GDPR compliance).
The rule applies only on cases closed, with two distinct scenarios:
1. If invoices have been issued on the cases, delete the cases closed &gt; 11 years, block cases between 2 and 11 years, and do nothing for cases closed for less than &lt; 2 years
2. If no invoices have been issued, delete the cases closed &gt; 5 years, block the case between 2 and 5 years, and do nothing for cases closed for less than &lt; 2 years
(the detailed business rule is documented in the document attached)</t>
  </si>
  <si>
    <t>DQ Dimension</t>
  </si>
  <si>
    <t>Completeness</t>
  </si>
  <si>
    <t>Consistency</t>
  </si>
  <si>
    <t>Uniqueness</t>
  </si>
  <si>
    <t>Integrity</t>
  </si>
  <si>
    <t>Validity</t>
  </si>
  <si>
    <t>Reasonability</t>
  </si>
  <si>
    <t>Timeliness</t>
  </si>
  <si>
    <t>Retention Rule for Cases</t>
  </si>
  <si>
    <t>Completeness of address information of the place of the event causing vehicle repair or vehicle towing cases</t>
  </si>
  <si>
    <t>Completenessof GPS coordinates of the place of the event causing vehicle repair or vehicle towing cases</t>
  </si>
  <si>
    <t>Valid From</t>
  </si>
  <si>
    <t>Valid To</t>
  </si>
  <si>
    <t>Is Enabled</t>
  </si>
  <si>
    <t>Formal Definition</t>
  </si>
  <si>
    <t>Error Message</t>
  </si>
  <si>
    <t>Expected Result Definition</t>
  </si>
  <si>
    <t>Observed Result Definition</t>
  </si>
  <si>
    <t>For each Case with Opening Date &gt;= 2017-01-01 and Service in ('B1520','B1760','B1780','POLTOW','DEPAUT','RAPECL','SECTOW')
     If Event Address Line 1 or Line 2 or Line 3 or Line 4 or City or Territory or Postal Code or Country is null then Error
Next Case</t>
  </si>
  <si>
    <t>Filled address information</t>
  </si>
  <si>
    <t>Empty address information</t>
  </si>
  <si>
    <t>Business DQ Rule Reference</t>
  </si>
  <si>
    <t>Policy_id</t>
  </si>
  <si>
    <t>Policy_num</t>
  </si>
  <si>
    <t>Policy number</t>
  </si>
  <si>
    <t>Policy identifier</t>
  </si>
  <si>
    <t>Data Processing Activity - ID</t>
  </si>
  <si>
    <t>Database ID</t>
  </si>
  <si>
    <t>Dataset ID</t>
  </si>
  <si>
    <t xml:space="preserve">Assessment Planning </t>
  </si>
  <si>
    <t>Everyday at 04:00 AM</t>
  </si>
  <si>
    <t>Every 1 hour</t>
  </si>
  <si>
    <t>Every 10 min</t>
  </si>
  <si>
    <t>Every Monday at 04:00 AM</t>
  </si>
  <si>
    <t>Technical Statement</t>
  </si>
  <si>
    <t>-- SQL statement here</t>
  </si>
  <si>
    <t>Case address missing</t>
  </si>
  <si>
    <t>Technical data quality rule</t>
  </si>
  <si>
    <t>Business data quality rule</t>
  </si>
  <si>
    <t>BP001</t>
  </si>
  <si>
    <t>Comment About Impact</t>
  </si>
  <si>
    <t>Data Processing Activity ID</t>
  </si>
  <si>
    <t>Impact Category</t>
  </si>
  <si>
    <t>Criticality Level</t>
  </si>
  <si>
    <t>Not significant</t>
  </si>
  <si>
    <t>Minor</t>
  </si>
  <si>
    <t>Serious</t>
  </si>
  <si>
    <t>Very serious</t>
  </si>
  <si>
    <t>Extremely serious</t>
  </si>
  <si>
    <t>Financial Impact</t>
  </si>
  <si>
    <t>Legal Impact</t>
  </si>
  <si>
    <t>Operating Impact</t>
  </si>
  <si>
    <t>Productivity Impact</t>
  </si>
  <si>
    <t>Project Impact</t>
  </si>
  <si>
    <t>Regulatory Impact</t>
  </si>
  <si>
    <t>Reputational Impact</t>
  </si>
  <si>
    <t>Sales Impact</t>
  </si>
  <si>
    <t>Data Owner</t>
  </si>
  <si>
    <t>Data Protection Officer</t>
  </si>
  <si>
    <t>Data Manager</t>
  </si>
  <si>
    <t>Comment</t>
  </si>
  <si>
    <t>Data domain</t>
  </si>
  <si>
    <t>Data Object ID</t>
  </si>
  <si>
    <t>Data Element ID</t>
  </si>
  <si>
    <t>Party_DM</t>
  </si>
  <si>
    <t>Client_DM</t>
  </si>
  <si>
    <t>Policy_FT</t>
  </si>
  <si>
    <t>Claim_FT</t>
  </si>
  <si>
    <t>Loss_notification_FT</t>
  </si>
  <si>
    <t>Link Data processing activity -&gt; Data element</t>
  </si>
  <si>
    <t>Importance level</t>
  </si>
  <si>
    <t>Optional</t>
  </si>
  <si>
    <t>Important</t>
  </si>
  <si>
    <t>Link Data processing activity-&gt; Business data quality rule</t>
  </si>
  <si>
    <t>Business Data Quality Rule ID</t>
  </si>
  <si>
    <t>Personal data identification</t>
  </si>
  <si>
    <t>Non personal data</t>
  </si>
  <si>
    <t>Directly identifying personal data</t>
  </si>
  <si>
    <t>Indirectly identifying personal data</t>
  </si>
  <si>
    <t>Fist version</t>
  </si>
  <si>
    <t>V0.2</t>
  </si>
  <si>
    <t>Guillaume HERVOUIN</t>
  </si>
  <si>
    <t>Add operational metadata (Data Object Member, Data Quality Issue)</t>
  </si>
  <si>
    <t>V0.0</t>
  </si>
  <si>
    <t>V0.3</t>
  </si>
  <si>
    <t>Productportfoliomanagement</t>
  </si>
  <si>
    <t>Contractriskevaluation</t>
  </si>
  <si>
    <t>Contractlifecyclemanagement</t>
  </si>
  <si>
    <t>Contractportfoliomanagement</t>
  </si>
  <si>
    <t>Claimsmanagement</t>
  </si>
  <si>
    <t>Data quality</t>
  </si>
  <si>
    <t>Subject Area - ID</t>
  </si>
  <si>
    <t>Business Area - ID</t>
  </si>
  <si>
    <t>Column filled automatically</t>
  </si>
  <si>
    <t>00057|Contract Lifecycle Management</t>
  </si>
  <si>
    <t>00063|Claims Management</t>
  </si>
  <si>
    <t>00004|Home</t>
  </si>
  <si>
    <t>John Doe</t>
  </si>
  <si>
    <t>Data Domain ID</t>
  </si>
  <si>
    <t>00004|Contract Lifecycle Management|Home</t>
  </si>
  <si>
    <t>00005|Claims Management|Home</t>
  </si>
  <si>
    <t>00006|Contract Billing</t>
  </si>
  <si>
    <t>00009|Claim Payment</t>
  </si>
  <si>
    <t>AU-Australia|PL-Poland</t>
  </si>
  <si>
    <t>00004|Policy</t>
  </si>
  <si>
    <t>00004|Policy Identifier</t>
  </si>
  <si>
    <t>00005|Policy Number</t>
  </si>
  <si>
    <t>00006|Policy Status Code</t>
  </si>
  <si>
    <t>00007|Effective Start Date</t>
  </si>
  <si>
    <t>00008|Initial Effective Date</t>
  </si>
  <si>
    <t>00009|Expiration Date</t>
  </si>
  <si>
    <t>00010|Expiration Description</t>
  </si>
  <si>
    <t>00004|Policy center PROD</t>
  </si>
  <si>
    <t>00006|Claim</t>
  </si>
  <si>
    <t>00004|Policy_FT</t>
  </si>
  <si>
    <t>00008|Claim_FT</t>
  </si>
  <si>
    <t>PolicyFT</t>
  </si>
  <si>
    <t>PartyDM</t>
  </si>
  <si>
    <t>ClientDM</t>
  </si>
  <si>
    <t>ClaimFT</t>
  </si>
  <si>
    <t>LossnotificationFT</t>
  </si>
  <si>
    <t>Policyid</t>
  </si>
  <si>
    <t>Policynum</t>
  </si>
  <si>
    <t>00005|Claim center PROD</t>
  </si>
  <si>
    <t>00005|Party_DM</t>
  </si>
  <si>
    <t>00006|Client_DM</t>
  </si>
  <si>
    <t>00007|Policy_holder_DM</t>
  </si>
  <si>
    <t>00009|Loss_notification_FT</t>
  </si>
  <si>
    <t>00004|Contract Administration</t>
  </si>
  <si>
    <t>00004|CA001</t>
  </si>
  <si>
    <t>Reporting Data Object - ID</t>
  </si>
  <si>
    <t>00007|Claim Triaging</t>
  </si>
  <si>
    <t>00005|CA002</t>
  </si>
  <si>
    <t>00006|CA003</t>
  </si>
  <si>
    <t>HR recruitment</t>
  </si>
  <si>
    <t>Contrat management</t>
  </si>
  <si>
    <t>--</t>
  </si>
  <si>
    <t>HRrecruitment</t>
  </si>
  <si>
    <t>Contratmanagement</t>
  </si>
  <si>
    <t>00004|Claims processing</t>
  </si>
  <si>
    <t>00006|Contrat management</t>
  </si>
  <si>
    <t>Email</t>
  </si>
  <si>
    <t>Full Name</t>
  </si>
  <si>
    <t>Bud Abbott</t>
  </si>
  <si>
    <t>Lou Costello</t>
  </si>
  <si>
    <t>Bud.abbott@axa.com|Lou.costello@axa.com</t>
  </si>
  <si>
    <t>Business Criticality</t>
  </si>
  <si>
    <t>GlossaryTerm</t>
  </si>
  <si>
    <t>Definition</t>
  </si>
  <si>
    <t>AAFMAA</t>
  </si>
  <si>
    <t xml:space="preserve">
Army and Air Force Mutual Aid Association (AAFMAA)
    </t>
  </si>
  <si>
    <t>AAI</t>
  </si>
  <si>
    <t xml:space="preserve">
Accredited Adviser in Insurance (AAI)
    </t>
  </si>
  <si>
    <t>AAIP</t>
  </si>
  <si>
    <t xml:space="preserve">
Atlanta Association of Insurance Professionals (AAIP)
    </t>
  </si>
  <si>
    <t>AAIS</t>
  </si>
  <si>
    <t xml:space="preserve">
American Association of Insurance Services (AAIS)
    </t>
  </si>
  <si>
    <t>AAMGA</t>
  </si>
  <si>
    <t xml:space="preserve">
American Association of Managing General Agents (AAMGA)
    </t>
  </si>
  <si>
    <t>AAMVA</t>
  </si>
  <si>
    <t xml:space="preserve">
American Association of Motor Vehicle Administrators (AAMVA)
    </t>
  </si>
  <si>
    <t>AARP</t>
  </si>
  <si>
    <t xml:space="preserve">
Association of American Retired Persons (AARP)
    </t>
  </si>
  <si>
    <t>ABIR</t>
  </si>
  <si>
    <t xml:space="preserve">
Association of Bermuda Insurers and Reinsurers (ABIR)
    </t>
  </si>
  <si>
    <t>Accident Incurred Location</t>
  </si>
  <si>
    <t xml:space="preserve">
See Accident location.
    </t>
  </si>
  <si>
    <t>Accident Location</t>
  </si>
  <si>
    <t xml:space="preserve">
Geographic location of a loss or accident.
    </t>
  </si>
  <si>
    <t>Accident Report</t>
  </si>
  <si>
    <t xml:space="preserve">
This concept describes of a general accident report.
    </t>
  </si>
  <si>
    <t>Accident Report  Injured Victim Indicator</t>
  </si>
  <si>
    <t xml:space="preserve">
States whether a person has been injured
    </t>
  </si>
  <si>
    <t>Accident Report  Witness Presence Indicator</t>
  </si>
  <si>
    <t xml:space="preserve">
States whether there is a witness
    </t>
  </si>
  <si>
    <t>Account</t>
  </si>
  <si>
    <t xml:space="preserve">
Accounts are logical or physical concepts for holding similar "things" (e.g., money, policies) that can be managed. This type of Account is used for accounting purposes only. See [AccountAgreement] for an account that is a type of financial services agreement.
    </t>
  </si>
  <si>
    <t>Account  Consolidated Account</t>
  </si>
  <si>
    <t xml:space="preserve">
This represents the account that is consolidated into another account.
    </t>
  </si>
  <si>
    <t>Account  Contained Account Entry</t>
  </si>
  <si>
    <t xml:space="preserve">
This represents an account entry contained within an account.
    </t>
  </si>
  <si>
    <t>Account  Currency Code</t>
  </si>
  <si>
    <t xml:space="preserve">
Indicates the code identifying the currency selected by the customer to be used on any monetary information provided to the customer (ISO-4217).
    </t>
  </si>
  <si>
    <t>Account  Description</t>
  </si>
  <si>
    <t xml:space="preserve">
A free-text statement used to explain what is represented by this account. The description may contain an indication of the financial items grouped under the account, the purpose of the account, and so on.
    </t>
  </si>
  <si>
    <t>Account  Effective Period</t>
  </si>
  <si>
    <t xml:space="preserve">
The duration on which the account is opened. From its start date the initial balance of the account is zero and entries can be made for the account.  On the end date the balance of the account needs to be set to zero and no more entries can be made for the account.
    </t>
  </si>
  <si>
    <t>Account  Identifier</t>
  </si>
  <si>
    <t xml:space="preserve">
An identifier assigned to the account by the account authority for identification purposes.
    </t>
  </si>
  <si>
    <t>Account  Is Consolidated Into Account</t>
  </si>
  <si>
    <t xml:space="preserve">
This represents the account into which one or more other accounts are being consolidated.
    </t>
  </si>
  <si>
    <t>Account  Is Shadowed By Account</t>
  </si>
  <si>
    <t xml:space="preserve">
This represents the account that is shadowing the shadowed account.
    </t>
  </si>
  <si>
    <t>Account  Name</t>
  </si>
  <si>
    <t xml:space="preserve">
Name of the Account
    </t>
  </si>
  <si>
    <t>Account  Owner</t>
  </si>
  <si>
    <t xml:space="preserve">
This represents the party that owns the account (e.g. the owner of the account).
    </t>
  </si>
  <si>
    <t>Account  Shadowed Account</t>
  </si>
  <si>
    <t xml:space="preserve">
This represents the account being shadowed.
    </t>
  </si>
  <si>
    <t>Account  Subject</t>
  </si>
  <si>
    <t xml:space="preserve">
This represents the party that is the subject of an account (e.g. the subject of the internal account is the customer, or the stock broker, etc. - for accounting, reporting purposes).
    </t>
  </si>
  <si>
    <t>Account Agreement</t>
  </si>
  <si>
    <t xml:space="preserve">
An agreement between a financial services provider and  an account holder related to the management of a financial account.
    </t>
  </si>
  <si>
    <t>Account Agreement  Allow Collateral Indicator</t>
  </si>
  <si>
    <t xml:space="preserve">
In a deposit account agreement or investment portfolio agreement, indicates whether the account holder can use the account as agreement collateral. In a loan account agreement, indicates whether the creditor can use the account as an agreement collateral. This information can be derived from allowed requests and their attached rules. e.g: A company sells a portion of loans, which were previously purchased in the marketplace, to investors. Since the loans cannot be physically separated, the portion sold cannot be delivered to the investors. As a result, the investors cannot sell or pledge the loans. The company also retains physical custody of the loans; however, to protect the interests of each of the parties, the company is prohibited under the agreement from selling or pledging the loans that were the subject of the partial sale.
    </t>
  </si>
  <si>
    <t>Account Agreement  Allow Multi Currency Balances Indicator</t>
  </si>
  <si>
    <t xml:space="preserve">
Indicates whether the account can hold balances in multiple currencies.
    </t>
  </si>
  <si>
    <t>Account Agreement  Allow Multi Currency Transactions Indicator</t>
  </si>
  <si>
    <t xml:space="preserve">
Indicates whether the account holder can make transactions in multiple currencies on this account.
    </t>
  </si>
  <si>
    <t>Account Agreement  Authorized Card</t>
  </si>
  <si>
    <t xml:space="preserve">
This represents the financial transaction card that is authorized by an account agreement.
    </t>
  </si>
  <si>
    <t>Account Agreement  Authorized Cheque</t>
  </si>
  <si>
    <t xml:space="preserve">
This represents the cheque that is authorized by an account agreement.
    </t>
  </si>
  <si>
    <t>Account Agreement Status</t>
  </si>
  <si>
    <t xml:space="preserve">
This represents the status of an account agreement.
    </t>
  </si>
  <si>
    <t>Account Agreement Status  Code</t>
  </si>
  <si>
    <t xml:space="preserve">
The current status of the account agreement within the life-cycle model.
    </t>
  </si>
  <si>
    <t>Account Conditions</t>
  </si>
  <si>
    <t xml:space="preserve">
The conditions, represented as text, under which a company should make the report available, such as a cedent (or his representative) to the reinsurer.
    </t>
  </si>
  <si>
    <t>Account Designation</t>
  </si>
  <si>
    <t xml:space="preserve">
In a life insurance product or annuity, identification of the person or entity who is expected to control the contract or account within the contract. Some examples of account designations include an estate, an owner, a trust, a named nominee, etc.
    </t>
  </si>
  <si>
    <t>Account Entry</t>
  </si>
  <si>
    <t xml:space="preserve">
The AccountEntry concept represents an atomic transaction or alteration in an Account and allows for current and historical positions of an Account.
All changes to an account, either credit or debit, need to be represented by an account entry. This means that an account balance or position can only be changed by adding new account entries to an account.
    </t>
  </si>
  <si>
    <t>Account Entry  Amount</t>
  </si>
  <si>
    <t xml:space="preserve">
The amount of money of the account entry. The identification of whether the amount is a debit or a credit is defined in the Debit credit indicator.
    </t>
  </si>
  <si>
    <t>Account Entry  Contained Account Entry</t>
  </si>
  <si>
    <t xml:space="preserve">
This represents an account entry contained within another account entry to represent the composition structure respectively. This account entry qualifies as a "sub amount".
    </t>
  </si>
  <si>
    <t>Account Entry  Description</t>
  </si>
  <si>
    <t xml:space="preserve">
A free-text statement used to explain the meaning of the account entry.
    </t>
  </si>
  <si>
    <t>Account Entry  Identifier</t>
  </si>
  <si>
    <t xml:space="preserve">
The identifier of the account entry to distinguish it from other entries.
    </t>
  </si>
  <si>
    <t>Account Entry  Posted Date Time</t>
  </si>
  <si>
    <t xml:space="preserve">
The date (and time) at which the account entry is posted to its account.
    </t>
  </si>
  <si>
    <t>Account Entry  Transaction Type Code</t>
  </si>
  <si>
    <t xml:space="preserve">
The type of transaction that generated an account entry.
    </t>
  </si>
  <si>
    <t>Account Entry  Type Code</t>
  </si>
  <si>
    <t xml:space="preserve">
Type of the AccountEntry.
    </t>
  </si>
  <si>
    <t>Account Entry  Value Date Time</t>
  </si>
  <si>
    <t xml:space="preserve">
The date (and time) from which the amount of money of this account entry can be accounted for.
    </t>
  </si>
  <si>
    <t>Account Holder</t>
  </si>
  <si>
    <t xml:space="preserve">
A party who owns an account agreement.
    </t>
  </si>
  <si>
    <t>Account Provider</t>
  </si>
  <si>
    <t xml:space="preserve">
A party who, in the context of an account agreement, provides an account and the related account facilities to the account holder.
For example, a bank is typically the account provider for a bank account (e.g. account agreement).
e.g: Acme Bank providing deposit account 056-9985567-91.
    </t>
  </si>
  <si>
    <t>Account Status</t>
  </si>
  <si>
    <t xml:space="preserve">
This represents the status of an account.
    </t>
  </si>
  <si>
    <t>Account Status  Code</t>
  </si>
  <si>
    <t xml:space="preserve">
Status of the Account
    </t>
  </si>
  <si>
    <t>Account Status  Reason Code</t>
  </si>
  <si>
    <t xml:space="preserve">
The reason explaining why there was a status change.
    </t>
  </si>
  <si>
    <t>Accounting Category</t>
  </si>
  <si>
    <t xml:space="preserve">
This concept specifies an accounting category.
    </t>
  </si>
  <si>
    <t>Accounting Document</t>
  </si>
  <si>
    <t xml:space="preserve">
This concept defines documents issued from accounting event management perspective.
    </t>
  </si>
  <si>
    <t>Accumulation Interest Rate</t>
  </si>
  <si>
    <t xml:space="preserve">
Accumulation rates established by insurance companies that are to be applied to the accumulated value of asset based insurance/annuity products.
    </t>
  </si>
  <si>
    <t>Accumulation Period</t>
  </si>
  <si>
    <t xml:space="preserve">
The time frame during which premium payments are made to an insurance company for a variable product.
    </t>
  </si>
  <si>
    <t>Accumulation Unit Value</t>
  </si>
  <si>
    <t xml:space="preserve">
Monetary worth of each accumulation unit at the end of each valuation period for a variable product.
    </t>
  </si>
  <si>
    <t>Accumulation Units</t>
  </si>
  <si>
    <t xml:space="preserve">
Measure of a contract holder's share in a variable product sub-account prior to date of payout.
    </t>
  </si>
  <si>
    <t>Accumulation Value</t>
  </si>
  <si>
    <t xml:space="preserve">
The main asset balance in asset-based insurance/annuity contracts. It represents premiums paid less charges paid and adjusted for investment performance or interest crediting.
    </t>
  </si>
  <si>
    <t>ACE</t>
  </si>
  <si>
    <t xml:space="preserve">
ACORD Certified Expert (ACE)
    </t>
  </si>
  <si>
    <t>ACH</t>
  </si>
  <si>
    <t xml:space="preserve">
Automated Clearing House (ACH)
    </t>
  </si>
  <si>
    <t>ACLI</t>
  </si>
  <si>
    <t xml:space="preserve">
American Council of Life Insurers (ACLI)
    </t>
  </si>
  <si>
    <t>ACORD</t>
  </si>
  <si>
    <t xml:space="preserve">
Association for Cooperative Operations Research and Development (ACORD)
    </t>
  </si>
  <si>
    <t>ACT</t>
  </si>
  <si>
    <t xml:space="preserve">
Agents Council for Technology (ACT)
    </t>
  </si>
  <si>
    <t>Activities Of Daily Living</t>
  </si>
  <si>
    <t xml:space="preserve">
The physical capabilities that an individual can perform on their own for on-going living. Examples include: bathing, continence, dressing, eating and intellectual function.
    </t>
  </si>
  <si>
    <t>Activity</t>
  </si>
  <si>
    <t xml:space="preserve">
An activity represents part of the business processes. The representation of an activity, as an instance of an activity, is necessary as soon as the activity is to be managed (assignment, logging, as a task, etc.)
Activities are provided by external professional service providers or internal staff. They are executed either by parties or by software applications.
An activity may include either single activities, complex activities, or a series of activities.
    </t>
  </si>
  <si>
    <t>Activity  Actual Cost Amount</t>
  </si>
  <si>
    <t xml:space="preserve">
The actual cost represented as a currency amount.
    </t>
  </si>
  <si>
    <t>Activity  Caused Event</t>
  </si>
  <si>
    <t xml:space="preserve">
This represents an event caused by an activity.
e.g. Hazardous material handling led to an accident/event.
    </t>
  </si>
  <si>
    <t>Activity  Completed Date Time</t>
  </si>
  <si>
    <t xml:space="preserve">
The date (and time) the activity occurred from a business point of view.  It can be different from the start date or the planned start date.
e.g. On May 1, the customer asked to have a coverage added to her policy effective the upcoming July 1 renewal date. The insurance company executed the change on June 1.
The request date is May 1.
The completed date is June 1.
The transaction effective date is July 1.
    </t>
  </si>
  <si>
    <t>Activity  Description</t>
  </si>
  <si>
    <t xml:space="preserve">
Description of the activity.
    </t>
  </si>
  <si>
    <t>Activity  Effective Date Time</t>
  </si>
  <si>
    <t xml:space="preserve">
The effective date (and time) of the activity.
Example: On May 1, the customer asked her agency to have a coverage added to her policy effective the upcoming July 1 renewal date. July 1 = effective date.
    </t>
  </si>
  <si>
    <t>Activity  Estimation Amount</t>
  </si>
  <si>
    <t xml:space="preserve">
The estimated amount (currency amount) associated with the activity.
e.g. repair amount
    </t>
  </si>
  <si>
    <t>Activity  Follow Up Date Time</t>
  </si>
  <si>
    <t xml:space="preserve">
The date (and time) set for a follow up to the activity.
    </t>
  </si>
  <si>
    <t>Activity  Followed Up On Activity</t>
  </si>
  <si>
    <t xml:space="preserve">
This represents a followed-up on activity when one activity is following-up on another.
For example, a medical test could be a follow-up to a medical exam (e.g. the medical exam is the "followed-up on" activity).
    </t>
  </si>
  <si>
    <t>Activity  Frequency Code</t>
  </si>
  <si>
    <t xml:space="preserve">
The frequency by which the activity occurs.
    </t>
  </si>
  <si>
    <t>Activity  Identifier</t>
  </si>
  <si>
    <t xml:space="preserve">
The unique identifier assigned to the activity being referenced.
    </t>
  </si>
  <si>
    <t>Activity  Included Party Role In Activity</t>
  </si>
  <si>
    <t xml:space="preserve">
This represents the role of a party within the context of an activity.
    </t>
  </si>
  <si>
    <t>Activity  Issue Mode</t>
  </si>
  <si>
    <t xml:space="preserve">
Specifies the way the activity was issued. Example of use: automatic or manual
    </t>
  </si>
  <si>
    <t>Activity  Name</t>
  </si>
  <si>
    <t xml:space="preserve">
Official name of the activity
    </t>
  </si>
  <si>
    <t>Activity  Objective</t>
  </si>
  <si>
    <t xml:space="preserve">
This is the objective of a given activity (e.g. the desired activity outcome).
    </t>
  </si>
  <si>
    <t>Activity  Planned Period</t>
  </si>
  <si>
    <t xml:space="preserve">
The time period that is  planned for the activity.
    </t>
  </si>
  <si>
    <t>Activity  Priority</t>
  </si>
  <si>
    <t xml:space="preserve">
Gives a priority level to the activity
    </t>
  </si>
  <si>
    <t>Activity  Reason For Ending Code</t>
  </si>
  <si>
    <t xml:space="preserve">
The reason the activity ended.
    </t>
  </si>
  <si>
    <t>Activity  Request Date Time</t>
  </si>
  <si>
    <t xml:space="preserve">
The date (and time) the request for the activity occurred.
    </t>
  </si>
  <si>
    <t>Activity  Used Physical Object</t>
  </si>
  <si>
    <t xml:space="preserve">
This represents a physical object used in/as part of an activity.
    </t>
  </si>
  <si>
    <t>Activity  Utilized Document</t>
  </si>
  <si>
    <t xml:space="preserve">
This represents a document utilized by an activity.
    </t>
  </si>
  <si>
    <t>Activity Assignee</t>
  </si>
  <si>
    <t xml:space="preserve">
This represents the party role acting as the "assignee" of the activity.
    </t>
  </si>
  <si>
    <t>Activity Assignor</t>
  </si>
  <si>
    <t xml:space="preserve">
This represents the party role acting as the "assignor" of the activity.
    </t>
  </si>
  <si>
    <t>Activity Category</t>
  </si>
  <si>
    <t xml:space="preserve">
This concept specifies an activity category.
    </t>
  </si>
  <si>
    <t>Activity Period</t>
  </si>
  <si>
    <t xml:space="preserve">
The period associated with the activity (e.g. start and end).
    </t>
  </si>
  <si>
    <t>Activity Place</t>
  </si>
  <si>
    <t xml:space="preserve">
The concept establishes a relationship between an activity and the place at which the activity occurs.
e.g: The activity of construction occurs at place Convention Center construction site.
e.g: The activity of parking occurs at the paved area next to the Edwards Memorial Stadium.
e.g: The hobby skiing typically occurs (is performed) at the Alps.
e.g: Professional baseball is played at Yankee Stadium.
    </t>
  </si>
  <si>
    <t>Activity Place  Activity</t>
  </si>
  <si>
    <t xml:space="preserve">
This is the activity associated with the place at which the activity has, is, or will occur.
e.g. An inspection (e.g. activity) may occur at a customer's location. The activity is "inspection".
    </t>
  </si>
  <si>
    <t>Activity Place  Frequency Code</t>
  </si>
  <si>
    <t xml:space="preserve">
A code indicating the frequency for which the activity occurs at a place.
    </t>
  </si>
  <si>
    <t>Activity Place  Itinerary Code</t>
  </si>
  <si>
    <t xml:space="preserve">
Indicates the nature of the place with regards to an activity (e.g. origin, destination).
    </t>
  </si>
  <si>
    <t>Activity Place  Place</t>
  </si>
  <si>
    <t xml:space="preserve">
This is the geographic place at which the activity has, is, or will occur.
    </t>
  </si>
  <si>
    <t>Activity Risk Score</t>
  </si>
  <si>
    <t xml:space="preserve">
This represents an assessment result from an assessment of specific risks for a type of activity. 
e.g: Nuclear industry has a high risk score. 
e.g: Parachute jumping has a high risk score.
    </t>
  </si>
  <si>
    <t>Activity Risk Score  Loss Event Category</t>
  </si>
  <si>
    <t xml:space="preserve">
This represents a loss event category and its probability as related to an activity risk score.
    </t>
  </si>
  <si>
    <t>Activity Status</t>
  </si>
  <si>
    <t xml:space="preserve">
This represents the status of an activity.
    </t>
  </si>
  <si>
    <t>Activity Status  Code</t>
  </si>
  <si>
    <t xml:space="preserve">
This code represents the status of an activity.
    </t>
  </si>
  <si>
    <t>Activity Status  Forced Indicator</t>
  </si>
  <si>
    <t xml:space="preserve">
States whether the change of status was forced
    </t>
  </si>
  <si>
    <t>Activity Subject</t>
  </si>
  <si>
    <t xml:space="preserve">
This represents the party role acting as the "subject" of the activity.
For example, a medical treatment activity would involve the person being treated, and that person would be the subject of the treatment.
    </t>
  </si>
  <si>
    <t>Actual Loss Sustained</t>
  </si>
  <si>
    <t xml:space="preserve">
The monetary value that constitutes the actual total amount of the loss.
    </t>
  </si>
  <si>
    <t>Actual Remuneration</t>
  </si>
  <si>
    <t xml:space="preserve">
The monetary value that constitutes the actual payroll of this rating class for the rating period (e.g. for the past 12 months). See definition for Remuneration.
    </t>
  </si>
  <si>
    <t>Actuarial Analysis</t>
  </si>
  <si>
    <t xml:space="preserve">
An actuarial analysis or assessment concerning a given concept (e.g. a party, an event, a set of insurance policies and related claims activities, etc.).
    </t>
  </si>
  <si>
    <t>Actuarial Analysis  Reinsurance Scenario Type Code</t>
  </si>
  <si>
    <t xml:space="preserve">
A categorization of actuarial analysis assessments according to how reinsurance has been taken into consideration when calculating the values represented by analytical measures.
    </t>
  </si>
  <si>
    <t>Actuarial Analysis  Scenario Valuation Basis Code</t>
  </si>
  <si>
    <t xml:space="preserve">
A categorization of actuarial analysis assessments according to the set of parameters and their respective values that have been taken into consideration when calculating analytical measures. The set of assumptions that those parameters and their values represent is labeled as a 'scenario valuation basis'. The labels are essentially arbitrary, and may be plain text set by business users, such as actuaries.
    </t>
  </si>
  <si>
    <t>Actuarial Analysis  Solvency Margin Status Code</t>
  </si>
  <si>
    <t xml:space="preserve">
The status of the solvency margin taken into consideration when calculating the values represented by analytical measures.
    </t>
  </si>
  <si>
    <t>Actuarial Analysis  Tax Status Code</t>
  </si>
  <si>
    <t xml:space="preserve">
A status of how taxation has been taken into consideration when calculating the values represented by analytical measures.
    </t>
  </si>
  <si>
    <t>Actuarial Analysis  Valuation State Code</t>
  </si>
  <si>
    <t xml:space="preserve">
A code that defines an assessment scenario set.
    </t>
  </si>
  <si>
    <t>ADA</t>
  </si>
  <si>
    <t xml:space="preserve">
Americans with Disabilities Act (ADA)
    </t>
  </si>
  <si>
    <t>Additional Commission Not Profit Related</t>
  </si>
  <si>
    <t xml:space="preserve">
Commission to be paid to the cedent in addition to a flat percentage or a sliding scale commission not dependent on results.
    </t>
  </si>
  <si>
    <t>Additional Covered Area</t>
  </si>
  <si>
    <t xml:space="preserve">
A geographic area to which coverage may be extended beyond the original geographical limits of the contract.
    </t>
  </si>
  <si>
    <t>Additional Interest</t>
  </si>
  <si>
    <t xml:space="preserve">
A party that is not automatically provided with coverage or indemnification, nor included as an insured under the policy of another main insured party, but for whom the main insured's policy may provide a certain degree of protection. 
e.g: Acme Bank as the additional interest "mortgagee" on the homeowners insurance policy on which William Shakespeare is the insured.
    </t>
  </si>
  <si>
    <t>Additional Interest  Rank</t>
  </si>
  <si>
    <t xml:space="preserve">
The ranking of 'this' additional interest when multiple additional interests are associated with the same item.
    </t>
  </si>
  <si>
    <t>Additional Interest  Reason</t>
  </si>
  <si>
    <t xml:space="preserve">
The reason the additional interest is associated with the agreement.
    </t>
  </si>
  <si>
    <t>Additional Interest  Type Code</t>
  </si>
  <si>
    <t xml:space="preserve">
A code classifying a party's role as an additional interest on an agreement.
NOTE: For property and casualty insurance, the classification of the interest is typically as a third party to the given agreement. For example, an insurance policy covering a dwelling critically involves two parties: (1) the policyholder/insured (2) the insurer. The party in the role of insured on the insurance agreement may also be a participant in a loan agreement, where it plays the role of borrower/mortgagor with another party playing the role of lender/mortgagee. The party acting as the lender in the loan agreement may require it be listed as "mortgagee" on the insurance agreement covering the dwelling. In this scenario, the party acting as the lender in the loan agreement has an additional interest in the insurance agreement and is accounted for as some type of additional interest or third party on the insurance agreement. Such additional interests may be classified for clarity on the insurance agreement. The lender plays the primary/first party role of "mortgagee" on the loan agreement. On the insurance agreement, the lender is playing a third party/additional interest role that can be classified as "mortgagee".
    </t>
  </si>
  <si>
    <t>Additional Outstanding Claim Information</t>
  </si>
  <si>
    <t xml:space="preserve">
For London Market Claims processing, the explanation of an outstanding claim amount to say if Fees, Recoveries, Salvage or Subrogation amounts are expected.
    </t>
  </si>
  <si>
    <t>Additional Premium</t>
  </si>
  <si>
    <t xml:space="preserve">
The premium due on a contract, in addition to the initial premium, as a result of increased coverage, increased rates, retrospective rate calculations, endorsements, premium audit, etc.
    </t>
  </si>
  <si>
    <t>Additional Related Claim</t>
  </si>
  <si>
    <t xml:space="preserve">
The indication of whether or not additional types of losses (Liability, Property, Automobile) are being reported with this same accident, incident, loss, occurrence, injury or illness.
    </t>
  </si>
  <si>
    <t>Additional Warranty Period</t>
  </si>
  <si>
    <t xml:space="preserve">
A measure of the period of warranty cover allowed in addition to the specific contract period, expressed as a number of time periods (e.g. relevant to placements where the original risk is a construction project.)
    </t>
  </si>
  <si>
    <t>Address</t>
  </si>
  <si>
    <t xml:space="preserve">
This concept represents a means of identifying and locating a resource, such as a place, physical location or email box.  Common addresses include a postal address, email address and even a telephone number.
    </t>
  </si>
  <si>
    <t>Adjustable Premium Contract</t>
  </si>
  <si>
    <t xml:space="preserve">
A contract which contains a provision that the premium due shall be based on a calculation during or at the end of the contract period. This may involve an adjustment in a Deposit Premium (advance premium or provisional premium).
    </t>
  </si>
  <si>
    <t>Adjustment Index</t>
  </si>
  <si>
    <t xml:space="preserve">
A modification made to a monetary value, by a product of some type of mathematical formula. There are a number of different types of adjustment indices; one example is in a life insurance contract to account for the risk of the insured living one more year.
    </t>
  </si>
  <si>
    <t>Adjustment Premium</t>
  </si>
  <si>
    <t xml:space="preserve">
Premium payable by the contractholder or the insurer typically in response to a change in the underlying risk, not a result of an endorsement.
    </t>
  </si>
  <si>
    <t>ADR</t>
  </si>
  <si>
    <t xml:space="preserve">
Alternative Dispute Resolution (ADR)
    </t>
  </si>
  <si>
    <t>Advanced Interest Calculation Rule</t>
  </si>
  <si>
    <t xml:space="preserve">
Loan calculations where the loan interest for a future date is already included in the loan principle amount. With insurance contracts, the future interest paid-to-date is typically the contract anniversary. If the contract anniversary is soon, perhaps within 30 days, the interest paid-to-date will be set to the following contract anniversary as specified in the insurance contract.
    </t>
  </si>
  <si>
    <t>Advised To Bureau Date</t>
  </si>
  <si>
    <t xml:space="preserve">
Date on which the current claim advice is first notified to the London Market bureau.
    </t>
  </si>
  <si>
    <t>Aesthetic Condition</t>
  </si>
  <si>
    <t xml:space="preserve">
This represents a medical condition involving aesthetics (e.g. aesthetic injury; aesthetic defect, etc.). Such conditions may or may not be re-compensable as a loss from either tort law or an insuring agreement. 
Examples: Visible scar, damage to skin, etc.
    </t>
  </si>
  <si>
    <t>AFBA</t>
  </si>
  <si>
    <t xml:space="preserve">
Armed Forces Benefit Association  (AFBA)
    </t>
  </si>
  <si>
    <t>Affected Party</t>
  </si>
  <si>
    <t xml:space="preserve">
This party role represents the party affected by an event (e.g. for the birth or death of a person, that person is the affected party; e.g. for the foundation or dissolution of an organization, that organization is the affected party).
    </t>
  </si>
  <si>
    <t>Affiliated Organization</t>
  </si>
  <si>
    <t xml:space="preserve">
Associated insurers that are under common stock ownership or interlocking directorates.
    </t>
  </si>
  <si>
    <t>Affinity Group</t>
  </si>
  <si>
    <t xml:space="preserve">
A group of persons or organizations with a common interest or purpose, either constituted as a legal entity or not.
    </t>
  </si>
  <si>
    <t>AFIS</t>
  </si>
  <si>
    <t xml:space="preserve">
Agribusiness and Farm Insurance Specialist (AFIS)
    </t>
  </si>
  <si>
    <t>AFP</t>
  </si>
  <si>
    <t xml:space="preserve">
Alpha Fetoprotein (AFP)
    </t>
  </si>
  <si>
    <t>AFSB</t>
  </si>
  <si>
    <t xml:space="preserve">
Associate in Fidelity and Surety Bonding (AFSB)
    </t>
  </si>
  <si>
    <t>AGC</t>
  </si>
  <si>
    <t xml:space="preserve">
Associated General Contractors of America (AGC)
    </t>
  </si>
  <si>
    <t>Aggregate Reserve</t>
  </si>
  <si>
    <t xml:space="preserve">
The sum of the aggregate expense reserve and the aggregate loss reserve.
    </t>
  </si>
  <si>
    <t>Agreement</t>
  </si>
  <si>
    <t xml:space="preserve">
This concept represents a complete and mutual understanding between two or more parties, each committing themselves to fulfill one or more obligations as outlined via their agreement.
    </t>
  </si>
  <si>
    <t>Agreement  Included Agreement</t>
  </si>
  <si>
    <t xml:space="preserve">
This represents the agreement that is "included" in another agreement.
    </t>
  </si>
  <si>
    <t>Agreement  Including Agreement</t>
  </si>
  <si>
    <t xml:space="preserve">
This represents the agreement that includes (e.g. is "including") one or more other agreements.
    </t>
  </si>
  <si>
    <t>Agreement  Integrated Agreement</t>
  </si>
  <si>
    <t xml:space="preserve">
This represents an agreement integrated into another agreement.
e.g. policy #1 is integrated into policy #2 (policy #1 is the "integrated agreement" and policy #2 is the "integrating agreement"
    </t>
  </si>
  <si>
    <t>Agreement  Integrating Agreement</t>
  </si>
  <si>
    <t xml:space="preserve">
This represents an agreement integrating other agreements for its composition.
e.g. policy #1 is integrated into policy #2 (policy #1 is the "integrated agreement" and policy #2 is the "integrating agreement"
    </t>
  </si>
  <si>
    <t>Agreement  Paid Agreement</t>
  </si>
  <si>
    <t xml:space="preserve">
This represents the paid agreement (e.g. the agreement that is paid by another agreement).
    </t>
  </si>
  <si>
    <t>Agreement  Paying Agreement</t>
  </si>
  <si>
    <t xml:space="preserve">
This represents the paying agreement (e.g. the agreement that is paying for another agreement).
    </t>
  </si>
  <si>
    <t>Agreement  Underlying Agreement</t>
  </si>
  <si>
    <t xml:space="preserve">
This represents the agreement that is "underlying" in relation to another agreement.
Underlying insurance is also known as primary insurance and generally applies to liability.
For example, the concept involves a customer acquiring primary insurance (policy #1) and also acquiring excess/umbrella insurance (policy #2). This is done so that in the event of a significant claim where the limit of insurance is reached on the primary insurance policy, the second policy will provide additional cover. In this example, policy #1 is the underlying policy/agreement.
    </t>
  </si>
  <si>
    <t>Agreement Approver</t>
  </si>
  <si>
    <t xml:space="preserve">
A role player that formally approves the agreement so that it can enter in force. Prior to approval, the agreement is not binding for the modeled organization. 
e.g: The board of directors formally states that the agreement matches the goals of the organization and enters in force on January, 1st 2008.
    </t>
  </si>
  <si>
    <t>Agreement Assignee</t>
  </si>
  <si>
    <t xml:space="preserve">
The party (e.g. person or organization) to whom rights to a benefit are assigned.
Examples:
A life insurance contract is assigned by the Collateral Borrower (assignor) to the collateral creditor (assignee) as a security for a loan.
The cash surrender value or a portion of the death benefit of a life insurance policy is often assigned by the policyholder (assignor) to a lending institution (the assignee) as collateral for a loan.
    </t>
  </si>
  <si>
    <t>Agreement Assignor</t>
  </si>
  <si>
    <t xml:space="preserve">
The party (e.g. person or organization) who transfers rights under an insurance or mortgage contract.
    </t>
  </si>
  <si>
    <t>Agreement Auditor</t>
  </si>
  <si>
    <t xml:space="preserve">
This concept states one's role as an auditor, acting in the context of a service provider agreement.
An auditor is a party who performs either operational or financial reviews (audits) of various types of operational or financial information.
    </t>
  </si>
  <si>
    <t>Agreement Auditor  Internal Indicator</t>
  </si>
  <si>
    <t xml:space="preserve">
Indicates whether the auditor is internal.
    </t>
  </si>
  <si>
    <t>Agreement Base</t>
  </si>
  <si>
    <t xml:space="preserve">
This abstract super-type contains attributes relevant to both agreements and agreement components.
    </t>
  </si>
  <si>
    <t>Agreement Base  Covered Activity</t>
  </si>
  <si>
    <t xml:space="preserve">
This represents the activity covered by an agreement or agreement component (e.g. the activity may be broad or specific, and may be relevant to something akin to an event; e.g. obtaining insurance coverage for the rental of a structure/premises for business purposes, such as the marketing of products/services, or non-business purposes, such as a graduation, wedding, etc.).
    </t>
  </si>
  <si>
    <t>Agreement Base  Description</t>
  </si>
  <si>
    <t xml:space="preserve">
This is a textual description of an agreement base (e.g. an agreement or an agreement component).
    </t>
  </si>
  <si>
    <t>Agreement Base  Effective Period</t>
  </si>
  <si>
    <t xml:space="preserve">
This represents the effective period of the agreement or agreement component.
Inception date (aka Start Date) = Commencement date of the agreement / agreement component.
Expiration date (aka End Date) = Date of cessation of the agreement / agreement component, when the time period for which it was written has ended.
    </t>
  </si>
  <si>
    <t>Agreement Base  Governed Party Role Relationship</t>
  </si>
  <si>
    <t xml:space="preserve">
This is the party role relationship that is governed by an agreement or agreement component.
e.g. The insurance policy (agreement) governs the relationship (customer relationship) between the producer and customer.
e.g. The employment agreement governs the relationship (employment) between the employer and the employee.
    </t>
  </si>
  <si>
    <t>Agreement Base  Governing Place</t>
  </si>
  <si>
    <t xml:space="preserve">
This represents the place which governs an agreement or agreement component (e.g. the place which acts as its jurisdiction).
Examples:
A tax deduction is governed by a place  (e.g. country, state, etc.) with regards to tax regulations.
An insurance policy is governed by a place (e.g. country, state, etc.) with regards to regulatory requirements.
    </t>
  </si>
  <si>
    <t>Agreement Base  Identified Condition</t>
  </si>
  <si>
    <t xml:space="preserve">
This represents a condition identified by an agreement.
    </t>
  </si>
  <si>
    <t>Agreement Base  Identifier</t>
  </si>
  <si>
    <t xml:space="preserve">
The unique identifier assigned to the agreement (e.g. policy, contract, submission, etc.) or agreement component being referenced. If required for a self-insurance agreement, the self-insured license or contract number.
    </t>
  </si>
  <si>
    <t>Agreement Base  Included Agreement Component</t>
  </si>
  <si>
    <t xml:space="preserve">
This represents a portion of an agreement as related to the agreement's composition structure (e.g. a limit, a deductible, etc.).
    </t>
  </si>
  <si>
    <t>Agreement Base  Included Party Role In Agreement</t>
  </si>
  <si>
    <t xml:space="preserve">
This represents the role of a party within the context of an agreement.
    </t>
  </si>
  <si>
    <t>Agreement Base  Included Physical Object Role In Agreement</t>
  </si>
  <si>
    <t xml:space="preserve">
This represents the role of a physical object within the context of an agreement.
    </t>
  </si>
  <si>
    <t>Agreement Base  Involved Supervision</t>
  </si>
  <si>
    <t xml:space="preserve">
This represents an assessment involving special attention (e.g. supervision) that would be needed and perhaps required for an agreement or agreement component.  For example, the need to look out for large cash transactions in a deposit account agreement.
    </t>
  </si>
  <si>
    <t>Agreement Base  Is Based On Specification</t>
  </si>
  <si>
    <t xml:space="preserve">
This represents the product specification (e.g. blueprint/design) that is the basis for a resulting agreement or agreement component.
    </t>
  </si>
  <si>
    <t>Agreement Base  Issue Date Time</t>
  </si>
  <si>
    <t xml:space="preserve">
This represents the date (and time) on which the agreement or agreement component is issued (e.g. produced).
    </t>
  </si>
  <si>
    <t>Agreement Base  Name</t>
  </si>
  <si>
    <t xml:space="preserve">
This represents the name of the agreement or agreement component.
    </t>
  </si>
  <si>
    <t>Agreement Base  Original Inception Date Time</t>
  </si>
  <si>
    <t xml:space="preserve">
The date (and time) "this" insured first was issued a policy by "this" insurer.
    </t>
  </si>
  <si>
    <t>Agreement Base  Provided Financial Provision</t>
  </si>
  <si>
    <t xml:space="preserve">
This represents a financial provision (e.g. premium, commission, etc.) associated with an agreement or agreement component.
    </t>
  </si>
  <si>
    <t>Agreement Base  Purpose Code</t>
  </si>
  <si>
    <t xml:space="preserve">
A code representing the  purpose / goal of the client who selected/purchased a given agreement or agreement component (e.g. it was selected for the purpose of: education funding, estate liquidity, etc.).
    </t>
  </si>
  <si>
    <t>Agreement Base  Referenced Agreement Base</t>
  </si>
  <si>
    <t xml:space="preserve">
This represents an agreement or agreement component being referenced by another agreement or agreement component.
    </t>
  </si>
  <si>
    <t>Agreement Base  Reserved Amount</t>
  </si>
  <si>
    <t xml:space="preserve">
This represents an amount of money that is kept (e.g. reserved) to fulfill future liabilities.
In an insurance context, this is the money reserved for claims (e.g. claim reserve, defense reserve, etc.).
It is not limited to the context of a claim (e.g: Matured Capital to be paid, Surrenders to be paid, etc.).
    </t>
  </si>
  <si>
    <t>Agreement Base  Tax Qualification Code</t>
  </si>
  <si>
    <t xml:space="preserve">
Identifies the tax regime that applies to this agreement or agreement component.
    </t>
  </si>
  <si>
    <t>Agreement Base  Utilized Agreement Document</t>
  </si>
  <si>
    <t xml:space="preserve">
This represents an agreement document utilized by an agreement or agreement component.
e.g: a personal auto insurance agreement utilizes a policy declarations page(s) document
    </t>
  </si>
  <si>
    <t>Agreement Base  Valuing Financial Valuation</t>
  </si>
  <si>
    <t xml:space="preserve">
This represents the financial valuation of an agreement or an agreement component.
e.g. The evaluation of the surrender value (market value) of a financial services agreement.
e.g: The financial services agreement Endowment policy is valued at market value EUR 20,000.
    </t>
  </si>
  <si>
    <t>Agreement Base  Version</t>
  </si>
  <si>
    <t xml:space="preserve">
This represents the versioning information for this instance of an agreement or agreement component.
    </t>
  </si>
  <si>
    <t>Agreement Base Status</t>
  </si>
  <si>
    <t xml:space="preserve">
This represents the status of an agreement or agreement component.
    </t>
  </si>
  <si>
    <t>Agreement Base Status  Code</t>
  </si>
  <si>
    <t xml:space="preserve">
The current status of the agreement or agreement component within the life-cycle model.
    </t>
  </si>
  <si>
    <t>Agreement Base Status  Reason Code</t>
  </si>
  <si>
    <t xml:space="preserve">
The additional information to explain the latest status of the agreement or agreement component. 
e.g: Not eligible (if agreement / agreement component rejected) 
e.g: Not taken up (if agreement / agreement component rejected)
    </t>
  </si>
  <si>
    <t>Agreement Component</t>
  </si>
  <si>
    <t xml:space="preserve">
This concept represents a portion of an agreement as related to the agreement's composition structure.
    </t>
  </si>
  <si>
    <t>Agreement Component  Applicability Type Code</t>
  </si>
  <si>
    <t xml:space="preserve">
A code indicating the applicability of an agreement component in relation to another concept, such as another agreement component, the entire agreement, etc.
    </t>
  </si>
  <si>
    <t>Agreement Component  Replaced Agreement Component</t>
  </si>
  <si>
    <t xml:space="preserve">
This represents the replaced agreement component.
e.g. coverage A is being replaced by coverage B; coverage A is the replaced agreement component
    </t>
  </si>
  <si>
    <t>Agreement Content Change Request</t>
  </si>
  <si>
    <t xml:space="preserve">
A request to maintain the contractual content of a financial services agreement. Depending on the kind of maintenance applied to the financial services agreement, such a request may or may not generate the issue of a new version of the financial services agreement. 
For example, a modification to the premium or the beneficiary of an insurance policy will trigger the issue of a new version of the policy, while a change in the address of the policyholder will not necessarily do. 
e.g: Endorsement Request: A request to add or subtract insurance coverages in an insurance policy. For example, vandalism and malicious mischief can be added to a fire policy through an endorsement. 
e.g: Investment Vehicle Allocation Request: A request by which the customer chooses the investment vehicle(s) in which he wishes to invest. Every regular or irregular installment that will be made by the customer will be allocated to the contractually-defined investment vehicle(s). 
e.g: Partial Surrender Request: A request to pay out a portion of the accumulated value of the insurance agreement. The coverages of the policy stay in effect, the value of some of the coverages may be decreased. 
e.g: Pledge Request: A request to transfer the cash value of a life insurance policy from the policyholder to the policyholder's creditor as security for a loan. 
e.g: Renewal Deferral Request: A request to defer the renewal of an insurance policy. Payment of the renewal premium is suspended and the policy is not renewed. The policy can be reactivated by payment of the renewal premium after the deferral period. 
e.g: Reversion Request: A request to pay an annuity to another designated beneficiary at the death of the annuitant. Some annuities may be paid to more than one person, with payments (in the same or lesser amount) paid to the survivor(s) after the death of one of them.
    </t>
  </si>
  <si>
    <t>Agreement Content Change Request  Type Code</t>
  </si>
  <si>
    <t xml:space="preserve">
A code indicating the type of change applicable to the agreement.
    </t>
  </si>
  <si>
    <t>Agreement Document</t>
  </si>
  <si>
    <t xml:space="preserve">
This concept represents any document related to an agreement. This could be in the form of a printed policy form, declarations page, coverage letter or other types of agreement documents.
    </t>
  </si>
  <si>
    <t>Agreement Form</t>
  </si>
  <si>
    <t xml:space="preserve">
A document that comprises the agreement/policy/contract and includes policy language (e.g. conditions, provisions, exclusions, etc.) including the declarations page.
    </t>
  </si>
  <si>
    <t>Agreement Holder</t>
  </si>
  <si>
    <t xml:space="preserve">
The party (e.g. person or organization) with rightful possession of an agreement (e.g. insurance contract), usually the "contract holder".
e.g: John Doe, as policyholder of an automobile comprehensive cover policy.
    </t>
  </si>
  <si>
    <t>Agreement Holder  Rejection Reason Code</t>
  </si>
  <si>
    <t xml:space="preserve">
The reason given by the policyholder for his rejection of the conditions stated in the financial services agreement. 
e.g: Decided for a different agreement 
e.g: Decided for a different insurer
    </t>
  </si>
  <si>
    <t>Agreement Loan Operation Request</t>
  </si>
  <si>
    <t xml:space="preserve">
This concept represents the request for an agreement/policy loan operation.
    </t>
  </si>
  <si>
    <t>Agreement Loan Repayment Bill</t>
  </si>
  <si>
    <t xml:space="preserve">
This concept represents the bill of a loan repayment to the company.
    </t>
  </si>
  <si>
    <t>Agreement Manager</t>
  </si>
  <si>
    <t xml:space="preserve">
This concept states a contract Manager who is managing the contract.
    </t>
  </si>
  <si>
    <t>Agreement Payer</t>
  </si>
  <si>
    <t xml:space="preserve">
A party who pays the amount(s) due or installments and the like on an agreement.
e.g. John Smith, as payer of amount due for term life insurance covering his son.
e.g. Jane Smith, as the payer of the savings installments for the savings components in a financial services agreement.
    </t>
  </si>
  <si>
    <t>Agreement Producer</t>
  </si>
  <si>
    <t xml:space="preserve">
This concept states the active role of the producer, who is responsible for getting the business.
e.g. Agent, Agency, Broker, Brokerage, etc.
e.g. The producer who negotiates a contract of reinsurance between the reassured and the reinsurer - developed into the Producing Broker (the broker who handles the business on behalf of the reassured) and the Placing Broker (the broker, who may be the same as the placing broker or a correspondent broker, who negotiates and places the business on rates / terms agreed with the reinsurer).
    </t>
  </si>
  <si>
    <t>Agreement Producer  Interest Percentage</t>
  </si>
  <si>
    <t xml:space="preserve">
The percent of interest the agreement producer has with regards to a related agreement. Collectively, the interests of one or more agreement producers should total 100%.
e.g. If one agreement has only one agreement producer, that producer has 100% interest.
e.g. If one agreement has two agreement producers, each would have its respective interest in the agreement (50% and 50%; 60% and 40%; etc.).
    </t>
  </si>
  <si>
    <t>Agreement Registration</t>
  </si>
  <si>
    <t xml:space="preserve">
The formal registering of an agreement with a recognized authority. Note: Some types of agreements need to be registered with a governing authority.
e.g: The retirement agreement of Michel Beau being registered as a 401(k) plan.
    </t>
  </si>
  <si>
    <t>Agreement Registration  Registered Agreement</t>
  </si>
  <si>
    <t xml:space="preserve">
This represents a registered agreement (e.g. an agreement that involved a filing with the appropriate governing authority in order to guarantee the legality of the agreement).
    </t>
  </si>
  <si>
    <t>Agreement Replacement</t>
  </si>
  <si>
    <t xml:space="preserve">
This associative class accounts for a relationship between any two agreements when one is replacing the other, including attribution known for insurance agreements (perhaps others) where the nature of the replacement involves distinguishing internal and/or transferred.
For example, Agreement123  may have been transferred to another company resulting in the issuance of Agreement456. In this example, Agreement123 is the "replaced" agreement and Agreement456 is the "replacing" agreement.
    </t>
  </si>
  <si>
    <t>Agreement Replacement  Replaced Agreement</t>
  </si>
  <si>
    <t xml:space="preserve">
This represents a "replaced" agreement (e.g. the agreement being replaced).
    </t>
  </si>
  <si>
    <t>Agreement Replacement  Replacing Agreement</t>
  </si>
  <si>
    <t xml:space="preserve">
This represents a "replacing" agreement (e.g. the agreement that is replacing another agreement).
    </t>
  </si>
  <si>
    <t>Agreement Replacement  Transferred Indicator</t>
  </si>
  <si>
    <t xml:space="preserve">
An indicator the related agreement was reassigned within the producer's operations from one insurer to another (e.g. the business/agreement is not new to the producer).
    </t>
  </si>
  <si>
    <t>Agreement Request</t>
  </si>
  <si>
    <t xml:space="preserve">
A request for a change on an existing agreement or a request for issuing a new one, or a request for executing a transaction or service according to the terms and conditions of an agreement. A request may be initiated by the modeled organization or any other third party. 
An agreement request is based on the definition provided in a agreement request specification.
    </t>
  </si>
  <si>
    <t>Agreement Request  Basing Agreement Request</t>
  </si>
  <si>
    <t xml:space="preserve">
This represents the "parent" agreement request composed of multiple "child" agreement requests.
The parent request is the "basing" request and each child request is the "included in" request.
e.g: John Doe's request for changing his life insurance agreement consists of a request for making his term Life cover paid up and of a request for partial surrender of his endowment coverage.
Parent = Change Agreement Request
Child = Make term life cover paid up
Child = partial surrender of endowment coverage
    </t>
  </si>
  <si>
    <t>Agreement Request  Basing Product Request Specification</t>
  </si>
  <si>
    <t xml:space="preserve">
This represents the Product Request Specification (e.g. blueprint/design) that served as the basis for the design of an agreement request. The specification will define the data needed for a given request (e.g. New Business Request) whereas the Agreement Request will contain the captured data needed for this request.
For example, a new business request specification includes a data element for initial contact date. The agreement request instance of New Business will capture the date needed for recording purposes.
    </t>
  </si>
  <si>
    <t>Agreement Request  Causing Event</t>
  </si>
  <si>
    <t xml:space="preserve">
This represents an event that caused an agreement request.
For example, an event, such as a vehicle accident, may be a total loss to the vehicle. The insurance policy covering the vehicle did not include physical damage coverage and the customer may opt not to immediately obtain a replacement vehicle. In this scenario, the event is the cause of a request to cancel the insurance policy for the noted the vehicle (this assumes the damaged vehicle was the only vehicle on the policy).
    </t>
  </si>
  <si>
    <t>Agreement Request  Communication Medium Code</t>
  </si>
  <si>
    <t xml:space="preserve">
Identifies the medium used by the requester  to issue this agreement request.
    </t>
  </si>
  <si>
    <t>Agreement Request  Included Agreement Request</t>
  </si>
  <si>
    <t xml:space="preserve">
This represents the "child" agreement request composed into a "parent" agreement request (e.g. basing request).
The parent request is the "basing" request and the child request is the "included" request.
e.g: John Doe's request for changing his life insurance agreement consists of a request for making his term Life cover paid up and of a request for partial surrender of his endowment coverage.
Parent = Change Agreement Request
Child = Make term life cover paid up
Child = partial surrender of endowment coverage
    </t>
  </si>
  <si>
    <t>Agreement Request  Reason Code</t>
  </si>
  <si>
    <t xml:space="preserve">
The reason why the request was made. 
Derived from the status related information. 
e.g: Agreement suspended because of repetitive non payment of premium after warning.
    </t>
  </si>
  <si>
    <t>Agreement Request  Targeted Agreement Base</t>
  </si>
  <si>
    <t xml:space="preserve">
This represents an agreement or agreement component that is the target of an agreement request.
e.g. A request to cancel an insurance policy is targeting a specific insurance policy.
    </t>
  </si>
  <si>
    <t>Agreement Request  Valid Code</t>
  </si>
  <si>
    <t xml:space="preserve">
The indication of whether the request fulfills its validity conditions, which are defined on the specification of the request. 
e.g: Rejected. 
e.g: Undefined. 
e.g: Valid.
    </t>
  </si>
  <si>
    <t>Agreement Request Status</t>
  </si>
  <si>
    <t xml:space="preserve">
This represents the status of an agreement request.
    </t>
  </si>
  <si>
    <t>Agreement Request Status  Code</t>
  </si>
  <si>
    <t xml:space="preserve">
The current status of the agreement request within the life-cycle model.
    </t>
  </si>
  <si>
    <t>Agreement Request Status  Reason Code</t>
  </si>
  <si>
    <t>Agreement Requester</t>
  </si>
  <si>
    <t xml:space="preserve">
A party who submits an agreement request to create or modify an existing agreement.
e.g: Gregory Michael , as requester of a partial surrender of his life policy.
    </t>
  </si>
  <si>
    <t>Agreement Service Document</t>
  </si>
  <si>
    <t xml:space="preserve">
A document used to service an agreement (e.g. a certificate of insurance, an insurance id, a request for cancellation, etc.).
    </t>
  </si>
  <si>
    <t>Agreement Servicer</t>
  </si>
  <si>
    <t xml:space="preserve">
A servicing role played by a party in the context of a financial services agreement. 
e.g: Jim Jones, as servicing agent in the term life insurance policy of Grace Cruise. Jim is the main point of contact for all endorsements on Grace's policy
    </t>
  </si>
  <si>
    <t>Agreement Servicer  Representative Type Code</t>
  </si>
  <si>
    <t xml:space="preserve">
A code identifying the type of service representative, independent of responsibilities.
    </t>
  </si>
  <si>
    <t>Agreement Underwriter</t>
  </si>
  <si>
    <t xml:space="preserve">
A party that assess the eligibility and/or acceptability of a customer to obtain and/or continue with an agreement and any related services  (equity capital, insurance, mortgage, or credit).
    </t>
  </si>
  <si>
    <t>Agreement Waiver Request</t>
  </si>
  <si>
    <t xml:space="preserve">
An agreement waiver enables the policy holder to cancel his/her agreement during the cooling off period and get back all the premium paid.
This is mainly used in life insurance, especially in France.
    </t>
  </si>
  <si>
    <t>Agreement Waiver Request  Amount</t>
  </si>
  <si>
    <t xml:space="preserve">
Total amount of the contract waiver
    </t>
  </si>
  <si>
    <t>Agricultural Equipment</t>
  </si>
  <si>
    <t xml:space="preserve">
This concept represents specific agricultural equipment typically listed on an Commercial Auto or Agricultural Insurance policy schedule. These include tools used in part of agricultural business. This does not include complex machinery or construction vehicles.
    </t>
  </si>
  <si>
    <t>Agriculture Equipment Specification</t>
  </si>
  <si>
    <t xml:space="preserve">
This represents the specification of the characteristics of an agriculture equipment item.
    </t>
  </si>
  <si>
    <t>Agriculture Equipment Specification  Portable Indicator</t>
  </si>
  <si>
    <t xml:space="preserve">
This indicates the design of the item is such that portability convenience is a feature and applies.
    </t>
  </si>
  <si>
    <t>Agriculture Equipment Specification  Type Code</t>
  </si>
  <si>
    <t xml:space="preserve">
This represents a type of agriculture equipment.
    </t>
  </si>
  <si>
    <t>Agriculture Vehicle</t>
  </si>
  <si>
    <t xml:space="preserve">
This concept gives particular features of an agricultural vehicle.
    </t>
  </si>
  <si>
    <t>Agriculture Vehicle Specification</t>
  </si>
  <si>
    <t xml:space="preserve">
This represents the specification of the characteristics of an agriculture vehicle.
    </t>
  </si>
  <si>
    <t>Agriculture Vehicle Specification  Type Code</t>
  </si>
  <si>
    <t xml:space="preserve">
This represents a type of agriculture vehicle (e.g. tractor, combine, etc.).
    </t>
  </si>
  <si>
    <t>agrip</t>
  </si>
  <si>
    <t xml:space="preserve">
Association of Governmental Risk Pools (agrip)
    </t>
  </si>
  <si>
    <t>AHIP</t>
  </si>
  <si>
    <t xml:space="preserve">
America's Health Insurance Plans (AHIP)
    </t>
  </si>
  <si>
    <t>AIA</t>
  </si>
  <si>
    <t xml:space="preserve">
American Insurance Association (AIA)
    </t>
  </si>
  <si>
    <t>AIC</t>
  </si>
  <si>
    <t xml:space="preserve">
Associate in Claims (AIC)
    </t>
  </si>
  <si>
    <t>AICP</t>
  </si>
  <si>
    <t xml:space="preserve">
Association of Insurance Compliance Professionals (AICP)
    </t>
  </si>
  <si>
    <t>AIMS</t>
  </si>
  <si>
    <t xml:space="preserve">
American Insurance Marketing &amp; Sales Society (AIMS)
    </t>
  </si>
  <si>
    <t>AINS</t>
  </si>
  <si>
    <t xml:space="preserve">
Associate in General Insurance (AINS)
    </t>
  </si>
  <si>
    <t>AIPSO</t>
  </si>
  <si>
    <t xml:space="preserve">
Automobile Insurance Plans Service Office (AIPSO)
    </t>
  </si>
  <si>
    <t>Aircraft</t>
  </si>
  <si>
    <t xml:space="preserve">
An aircraft is a machine that is able to fly by gaining support from the air, or, in general, the atmosphere of a planet. It counters the force of gravity by using either static lift or by using the dynamic lift of an airfoil, or in a few cases the downward thrust from jet engines.
    </t>
  </si>
  <si>
    <t>Aircraft  Hangar Indicator</t>
  </si>
  <si>
    <t xml:space="preserve">
Indicates if the insured aircraft is parked in a hangar.
    </t>
  </si>
  <si>
    <t>Aircraft  Identified Pilot</t>
  </si>
  <si>
    <t xml:space="preserve">
This represents the pilot associated with the aircraft.
    </t>
  </si>
  <si>
    <t>Aircraft  Regular Pilot Count</t>
  </si>
  <si>
    <t xml:space="preserve">
Indicates the number of regular pilots of the insured aircraft.
    </t>
  </si>
  <si>
    <t>Aircraft Specification</t>
  </si>
  <si>
    <t xml:space="preserve">
This represents the specification of the characteristics of an aircraft.
    </t>
  </si>
  <si>
    <t>Aircraft Specification  Crew Seat Count</t>
  </si>
  <si>
    <t xml:space="preserve">
Number of seats for the crew of an aircraft.
    </t>
  </si>
  <si>
    <t>Aircraft Specification  Instrumental Flight Rating Indicator</t>
  </si>
  <si>
    <t xml:space="preserve">
Indicates whether or not this aircraft model has been rated for instrumental flights.
    </t>
  </si>
  <si>
    <t>Aircraft Specification  Intended Use Code</t>
  </si>
  <si>
    <t xml:space="preserve">
Describes the aviation usage.  (Private, Commercial, etc)
    </t>
  </si>
  <si>
    <t>Aircraft Specification  Pilot Seat Count</t>
  </si>
  <si>
    <t xml:space="preserve">
Number of seats for pilots of an aircraft.
    </t>
  </si>
  <si>
    <t>Aircraft Specification  Total Seat Count</t>
  </si>
  <si>
    <t xml:space="preserve">
Total number of seats in an aircraft.
    </t>
  </si>
  <si>
    <t>Aircraft Specification  Type Code</t>
  </si>
  <si>
    <t xml:space="preserve">
This represents a type of aircraft.
    </t>
  </si>
  <si>
    <t>AIRMIC</t>
  </si>
  <si>
    <t xml:space="preserve">
Association of Insurance and Risk Managers in Industry and Commerce (AIRMIC)
    </t>
  </si>
  <si>
    <t>Airport</t>
  </si>
  <si>
    <t xml:space="preserve">
An airport is a location where aircraft such as fixed-wing aircraft, helicopters, and blimps take off and land.
    </t>
  </si>
  <si>
    <t>Airport  Aircraft Storage Code</t>
  </si>
  <si>
    <t xml:space="preserve">
This indicates the type of aircraft storage available at the airport.
    </t>
  </si>
  <si>
    <t>Airport  Type Code</t>
  </si>
  <si>
    <t xml:space="preserve">
This indicates the type of airport.
    </t>
  </si>
  <si>
    <t>Airsports Experience</t>
  </si>
  <si>
    <t xml:space="preserve">
This represents airsports experience as a lifestyle activity (e.g. leisure pursuit).
    </t>
  </si>
  <si>
    <t>AIS</t>
  </si>
  <si>
    <t xml:space="preserve">
Associate in Insurance Services (AIS)
    </t>
  </si>
  <si>
    <t>Alarm</t>
  </si>
  <si>
    <t xml:space="preserve">
An alarm device or system of alarm devices gives an audible, visual or other form of alarm signal about a problem or condition.
    </t>
  </si>
  <si>
    <t>Alarm  Alert Code</t>
  </si>
  <si>
    <t xml:space="preserve">
This represents how and where the alarm rings/sounds.
    </t>
  </si>
  <si>
    <t>Alarm  Line Security Indicator</t>
  </si>
  <si>
    <t xml:space="preserve">
This indicates the alarm lines are protected.
    </t>
  </si>
  <si>
    <t>Alarm  Panic Button Count</t>
  </si>
  <si>
    <t xml:space="preserve">
This represents the count of panic buttons.
    </t>
  </si>
  <si>
    <t>Alarm  Protection Extent Code</t>
  </si>
  <si>
    <t xml:space="preserve">
This represents the extent of protection provided by the alarm.
    </t>
  </si>
  <si>
    <t>Alarm Specification</t>
  </si>
  <si>
    <t xml:space="preserve">
This represents the specification of the characteristics of an alarm.
    </t>
  </si>
  <si>
    <t>Alarm Specification  Type Code</t>
  </si>
  <si>
    <t xml:space="preserve">
This represents the type of alarm (e.g. burglar, smoke, etc.).
    </t>
  </si>
  <si>
    <t>Alcohol Use</t>
  </si>
  <si>
    <t xml:space="preserve">
This concept describes a person's alcohol use.
    </t>
  </si>
  <si>
    <t>Alcohol Use  Type Code</t>
  </si>
  <si>
    <t xml:space="preserve">
Indicates the type of alcohol consumed.
    </t>
  </si>
  <si>
    <t>Alert</t>
  </si>
  <si>
    <t xml:space="preserve">
This concept represents an alert (e.g. a message of some type) associated with an activity or event that is communicated from one party to another.
e.g. An alert sent from an insurer to a producer communicating the status of a payment on a policy and that unless funds are received soon, a cancellation for non-payment will be delivered.
    </t>
  </si>
  <si>
    <t>Alert  Causing Activity</t>
  </si>
  <si>
    <t xml:space="preserve">
This represents an activity that caused an alert.
    </t>
  </si>
  <si>
    <t>Alert  Causing Event</t>
  </si>
  <si>
    <t xml:space="preserve">
This represents an event that caused an alert.
    </t>
  </si>
  <si>
    <t>Alert  Creation Date Time</t>
  </si>
  <si>
    <t xml:space="preserve">
The date (and time) the alert was created.
    </t>
  </si>
  <si>
    <t>Alert  Message</t>
  </si>
  <si>
    <t xml:space="preserve">
Alert message
    </t>
  </si>
  <si>
    <t>Alert  Subject</t>
  </si>
  <si>
    <t xml:space="preserve">
Alert subject
    </t>
  </si>
  <si>
    <t>Alert Code</t>
  </si>
  <si>
    <t xml:space="preserve">
Alert Id code.
    </t>
  </si>
  <si>
    <t>Alert Status</t>
  </si>
  <si>
    <t xml:space="preserve">
This represents the status of an alert.
    </t>
  </si>
  <si>
    <t>Alert Status  Code</t>
  </si>
  <si>
    <t xml:space="preserve">
Alert status
    </t>
  </si>
  <si>
    <t>All Terrain Vehicle</t>
  </si>
  <si>
    <t xml:space="preserve">
An all-terrain vehicle (ATV), also known as a quad, quad bike, three-wheeler, or four-wheeler, is defined by the American National Standards Institute (ANSI) as a vehicle that travels on low-pressure tires, with a seat that is straddled by the operator, along with handlebars for steering control.
    </t>
  </si>
  <si>
    <t>All Terrain Vehicle Specification</t>
  </si>
  <si>
    <t xml:space="preserve">
This represents the specification of the characteristics of an all terrain vehicle (ATV).
    </t>
  </si>
  <si>
    <t>Allocated Loss Adjustment Expense</t>
  </si>
  <si>
    <t xml:space="preserve">
The expenses incurred that are specifically assignable to a claim. For statutory and actuarial computations, the line items included may vary.
    </t>
  </si>
  <si>
    <t>Allocation Option</t>
  </si>
  <si>
    <t xml:space="preserve">
The rules specifying how a variable annuity owner wants assets distributed in the asset allocation feature of a variable annuity product. For example: distribute new money to funds, use standing allocations, distribute equally over funds.
    </t>
  </si>
  <si>
    <t>Alternate Treatment Plan</t>
  </si>
  <si>
    <t xml:space="preserve">
Provision for treatment of a patient other than hospitalization. An example would be acupuncture vs. surgery.
    </t>
  </si>
  <si>
    <t xml:space="preserve">
Amplitude Modulation (AM)
    </t>
  </si>
  <si>
    <t>Ambulance</t>
  </si>
  <si>
    <t xml:space="preserve">
An ambulance is a vehicle for transportation of sick or injured people to, from or between places of treatment for an illness or injury, and in some instances will also provide out of hospital medical care to the patient. The word is often associated with road going emergency ambulances which form part of an emergency medical service, administering emergency care to those with acute medical problems.
    </t>
  </si>
  <si>
    <t>Ambulance  Use Code</t>
  </si>
  <si>
    <t xml:space="preserve">
This represents the use of the ambulance.
    </t>
  </si>
  <si>
    <t>Ambulance Specification</t>
  </si>
  <si>
    <t xml:space="preserve">
This represents the specification of the characteristics of an ambulance.
    </t>
  </si>
  <si>
    <t>Amendment Request Premium Payer</t>
  </si>
  <si>
    <t xml:space="preserve">
The person or organization who is the payer of the amendment premium due for an amendment request.
    </t>
  </si>
  <si>
    <t>Amendment Request Refund Payee</t>
  </si>
  <si>
    <t xml:space="preserve">
The person or organization who is the receiver of an amendment premium that is refunded as a result of an amendment request that results in a premium decrease.
    </t>
  </si>
  <si>
    <t>AMICE</t>
  </si>
  <si>
    <t xml:space="preserve">
Association of Mutual Insurers &amp; Insurance Cooperatives in Europe (AMICE)
    </t>
  </si>
  <si>
    <t>AML</t>
  </si>
  <si>
    <t xml:space="preserve">
ACORD Messaging Library (AML)
    </t>
  </si>
  <si>
    <t>AMS</t>
  </si>
  <si>
    <t xml:space="preserve">
ACORD Message Service (AMS)
    </t>
  </si>
  <si>
    <t>Anchor Basis</t>
  </si>
  <si>
    <t xml:space="preserve">
The anchor (primary) basis of this illustration request. An example would be the projected values of a life insurance contract for the applicant, over a specified period of time, based upon contributions and other values such as interest rates, etc.
    </t>
  </si>
  <si>
    <t>Animal</t>
  </si>
  <si>
    <t xml:space="preserve">
An living creature that is not human or plant.  An animal can be a pet, a farm animal or a show animal.
    </t>
  </si>
  <si>
    <t>Animal  Birth Date Time</t>
  </si>
  <si>
    <t xml:space="preserve">
The date (and time) of birth of the animal.
    </t>
  </si>
  <si>
    <t>Animal  Breed</t>
  </si>
  <si>
    <t xml:space="preserve">
States the breed of the animal
    </t>
  </si>
  <si>
    <t>Animal  Color</t>
  </si>
  <si>
    <t xml:space="preserve">
Color of the animal.
    </t>
  </si>
  <si>
    <t>Animal  Death Date Time</t>
  </si>
  <si>
    <t xml:space="preserve">
The date (and time) of the death of the animal.
    </t>
  </si>
  <si>
    <t>Animal  Domestication Category Code</t>
  </si>
  <si>
    <t xml:space="preserve">
A categorization of an animal's domestication.
    </t>
  </si>
  <si>
    <t>Animal  Gender Code</t>
  </si>
  <si>
    <t xml:space="preserve">
The defined gender of the LifeForm.
    </t>
  </si>
  <si>
    <t>Animal  Micro Chipped Indicator</t>
  </si>
  <si>
    <t xml:space="preserve">
States whether the animal has been incorporated an identification chip.
    </t>
  </si>
  <si>
    <t>Animal  Name</t>
  </si>
  <si>
    <t xml:space="preserve">
Name of the animal
    </t>
  </si>
  <si>
    <t>Animal  Neuter Indicator</t>
  </si>
  <si>
    <t xml:space="preserve">
Neutering, from the Latin neuter (of neither sex), is the removal of an animal's reproductive organ, either all of it or a considerably large part. The term is often used in reference to males whereas spaying is often reserved for females. Colloquially, both terms are often referred to as fixing. While technically called castration for males, in male horses, the process is referred to as gelding.
    </t>
  </si>
  <si>
    <t>Animal  Pedigree Indicator</t>
  </si>
  <si>
    <t xml:space="preserve">
States whether the animal has a pedigree
    </t>
  </si>
  <si>
    <t>Animal  Species</t>
  </si>
  <si>
    <t xml:space="preserve">
Species of the animal. Example: poodle or Persian cat.
    </t>
  </si>
  <si>
    <t>Animal  Type Code</t>
  </si>
  <si>
    <t xml:space="preserve">
Type of animal.
    </t>
  </si>
  <si>
    <t>Animal Registration</t>
  </si>
  <si>
    <t xml:space="preserve">
The formal registering of an animal with a recognized authority.
    </t>
  </si>
  <si>
    <t>Annualized Commission Basis</t>
  </si>
  <si>
    <t xml:space="preserve">
Indicates whether the commission basis is calculated annually.
    </t>
  </si>
  <si>
    <t>Annuitant</t>
  </si>
  <si>
    <t xml:space="preserve">
A party entitled to receive benefits from an annuity.
    </t>
  </si>
  <si>
    <t>Annuitization</t>
  </si>
  <si>
    <t xml:space="preserve">
A process whereby payments are made at time intervals for a lifetime and/or for a specific period of time.
    </t>
  </si>
  <si>
    <t>Annuity</t>
  </si>
  <si>
    <t xml:space="preserve">
An agreement that provides for periodic payments starting after a stated period or contingent upon an event, and continuing for a fixed period and/or for the remaining life of the annuitant.
    </t>
  </si>
  <si>
    <t>Annuity - Immediate</t>
  </si>
  <si>
    <t xml:space="preserve">
An annuity, usually purchased with a single premium, that commences benefit payments within a specified interval. Usually payments begin within one year of the initial premium.
    </t>
  </si>
  <si>
    <t>Annuity - Joint and Survivor</t>
  </si>
  <si>
    <t xml:space="preserve">
An annuity contract that provides periodic payments during the lifetime of two individuals.
    </t>
  </si>
  <si>
    <t>Annuity - Reversionary</t>
  </si>
  <si>
    <t xml:space="preserve">
Agreement under which an annuitant receives a predetermined monthly income benefit for life, upon the death of the insured.
    </t>
  </si>
  <si>
    <t>Annuity Deferred</t>
  </si>
  <si>
    <t xml:space="preserve">
An annuity in which the benefit payments are scheduled to begin at some stated point in the future.
    </t>
  </si>
  <si>
    <t>Annuity Fixed</t>
  </si>
  <si>
    <t xml:space="preserve">
An annuity for which the insurer assumes the contract's investment risk, and guarantees to pay a specified rate of interest on the accumulated value for a specified period of time.
    </t>
  </si>
  <si>
    <t>Annuity Payout</t>
  </si>
  <si>
    <t xml:space="preserve">
Period when the accumulated assets are returned to the annuitant.
    </t>
  </si>
  <si>
    <t>Annuity Payout Levelization</t>
  </si>
  <si>
    <t xml:space="preserve">
In a variable annuity payout, the process of adjusting the modal payments within a contract year to be the same amount.
    </t>
  </si>
  <si>
    <t>Annuity Variable</t>
  </si>
  <si>
    <t xml:space="preserve">
An annuity under which the amount of the accumulated value and the amount of the periodic annuity benefit payments fluctuate in accordance with the performance of a specified pool of investments.
    </t>
  </si>
  <si>
    <t>ANSI</t>
  </si>
  <si>
    <t xml:space="preserve">
American National Standards Institute (ANSI)
    </t>
  </si>
  <si>
    <t>Antenna Tower</t>
  </si>
  <si>
    <t xml:space="preserve">
Radio masts and towers are, typically, tall structures designed to support antennas (also known as aerials) for telecommunications and broadcasting, including television.
    </t>
  </si>
  <si>
    <t>Antenna Tower  Alterations Description</t>
  </si>
  <si>
    <t xml:space="preserve">
This is a description of alterations made to the tower or antenna.
    </t>
  </si>
  <si>
    <t>Antenna Tower  Deicing Indicator</t>
  </si>
  <si>
    <t xml:space="preserve">
This indicates the structure is equipped with de-icing equipment.
    </t>
  </si>
  <si>
    <t>Antenna Tower  Design Type Code</t>
  </si>
  <si>
    <t xml:space="preserve">
This represents the type of antenna tower design.
    </t>
  </si>
  <si>
    <t>Antenna Tower  Maximum Wind Speed</t>
  </si>
  <si>
    <t xml:space="preserve">
This represents the maximum wind speed the structure can tolerate (e.g. 100 miles per hour, 150 kilometers per hour, etc.).
    </t>
  </si>
  <si>
    <t>ANZIIF</t>
  </si>
  <si>
    <t xml:space="preserve">
The Australia and New Zealand Institute of Insurance &amp; Finance (ANZIIF)
    </t>
  </si>
  <si>
    <t>Apartment Building</t>
  </si>
  <si>
    <t xml:space="preserve">
This concept represents an apartment building. As such, it may contain apartment units.
    </t>
  </si>
  <si>
    <t>API</t>
  </si>
  <si>
    <t xml:space="preserve">
Associate in Personal Insurance (API)
    </t>
  </si>
  <si>
    <t>APL</t>
  </si>
  <si>
    <t xml:space="preserve">
Automatic Policy Loan (APL)
    </t>
  </si>
  <si>
    <t>Applicant</t>
  </si>
  <si>
    <t xml:space="preserve">
A party applying for financial services. The party has not yet been accepted by the financial services provider; no financial services agreement has been issued yet. 
e.g: Eds Construction Company that wants to be insured in a new construction liability insurance. 
e.g: John Doe who wants to be insured in a new Life policy.
    </t>
  </si>
  <si>
    <t>Applicant  Agreement Terminated By Insurer Indicator</t>
  </si>
  <si>
    <t xml:space="preserve">
An indicator the applicant had an agreement that was terminated by an insurer.
    </t>
  </si>
  <si>
    <t>Applicant  Agreement Termination Reason</t>
  </si>
  <si>
    <t xml:space="preserve">
The reason the agreement was terminated by the insurer.
e.g. claim activity, driving record, false declaration, non payment of premium
    </t>
  </si>
  <si>
    <t>Applicant  Declared Claim Amount</t>
  </si>
  <si>
    <t xml:space="preserve">
The monetary amount of claims declared by an applicant, not including claims filed to the modeled organization.
    </t>
  </si>
  <si>
    <t>Applicant  Declared Claim Count</t>
  </si>
  <si>
    <t xml:space="preserve">
The number of claims declared by an applicant, not including claims filed to the modeled organization.
    </t>
  </si>
  <si>
    <t>Applicant  Loss Time Period Duration</t>
  </si>
  <si>
    <t xml:space="preserve">
The time period, as determined by the underwriting party, associated with the applicant's loss history (e.g. 3 years, 5 years).
    </t>
  </si>
  <si>
    <t>Applicant  No Claim Discount Duration</t>
  </si>
  <si>
    <t xml:space="preserve">
The duration prior to the agreement start date during which the applicant has not made a claim on any insurer for this type of agreement or coverage.  A premium discount is often given if the period is sufficiently long.
    </t>
  </si>
  <si>
    <t>Applicant  Time Since Agreement Termination</t>
  </si>
  <si>
    <t xml:space="preserve">
The amount of time that has passed since the party's prior agreement was terminated.
e.g. 
Less than 3 months
From 6 to 12 months
From 12 to 24 months
From 24 to 36 months
More than 36 months'
    </t>
  </si>
  <si>
    <t>Applicant Liability</t>
  </si>
  <si>
    <t xml:space="preserve">
A legally enforceable obligation for which the applicant is responsible. Examples include: applicant has a waiver of subrogation; applicant is held harmless, or is a named insured.
    </t>
  </si>
  <si>
    <t xml:space="preserve">
Information supplied by a prospective insured that includes information used by an insurance company to decide whether or not to insure the risk and/or the terms of the insurance offered.
    </t>
  </si>
  <si>
    <t>Applied Charge</t>
  </si>
  <si>
    <t xml:space="preserve">
Sum of all expenses/fees applied to a claim.
    </t>
  </si>
  <si>
    <t>Appraisal</t>
  </si>
  <si>
    <t xml:space="preserve">
A report made by a qualified person setting forth an opinion or estimate of value. The term also refers to the process by which this estimate is obtained.
    </t>
  </si>
  <si>
    <t>Appraisal Firm</t>
  </si>
  <si>
    <t xml:space="preserve">
An organization that performs valuations of property or valuations of property damage.
    </t>
  </si>
  <si>
    <t>Appraiser</t>
  </si>
  <si>
    <t xml:space="preserve">
The party that performs valuations of property or valuations of property damage.
    </t>
  </si>
  <si>
    <t>Approver</t>
  </si>
  <si>
    <t xml:space="preserve">
An individual who has signature authority to accept and commit to the terms and conditions of an insurance document or to authorize an action to be performed.
    </t>
  </si>
  <si>
    <t>APRA</t>
  </si>
  <si>
    <t xml:space="preserve">
Australian Prudential Regulation Authority (APRA)
    </t>
  </si>
  <si>
    <t>Arbiter</t>
  </si>
  <si>
    <t xml:space="preserve">
One chosen or appointed to judge or decide a dispute; an arbitrator.
    </t>
  </si>
  <si>
    <t>Arbitration</t>
  </si>
  <si>
    <t xml:space="preserve">
The hearing and determination of a dispute by an impartial referee agreed to by both parties.
    </t>
  </si>
  <si>
    <t>ARM</t>
  </si>
  <si>
    <t xml:space="preserve">
Associate in Risk Management (ARM)
    </t>
  </si>
  <si>
    <t>Arrangement Conflict</t>
  </si>
  <si>
    <t xml:space="preserve">
See Feature Conflict
    </t>
  </si>
  <si>
    <t>ART</t>
  </si>
  <si>
    <t xml:space="preserve">
Annual Renewable Term (ART)
    </t>
  </si>
  <si>
    <t>Art Director</t>
  </si>
  <si>
    <t xml:space="preserve">
This represents the party role of art director. The responsibilities of an art director include, but are not limited to
creating campaigns that produce the desired result (e.g. a campaign with a positive impact on the prospect/target in order to promote a product, brand, and/or service. Duties may also involve the look of advertisements.
    </t>
  </si>
  <si>
    <t>ASA</t>
  </si>
  <si>
    <t xml:space="preserve">
Actuarial Society of America (ASA)
    </t>
  </si>
  <si>
    <t>ASC X12</t>
  </si>
  <si>
    <t xml:space="preserve">
Accredited Standards Committee X12 (ASC X12)
    </t>
  </si>
  <si>
    <t>ASFA</t>
  </si>
  <si>
    <t xml:space="preserve">
Australian Superannuation Funds Association (ASFA)
    </t>
  </si>
  <si>
    <t>Asked Question</t>
  </si>
  <si>
    <t xml:space="preserve">
A question asked to a party or that will be asked to a party.
    </t>
  </si>
  <si>
    <t>Asked Question  Selected Answer</t>
  </si>
  <si>
    <t xml:space="preserve">
This represents a predefined answer for a multiple choice asked question (e.g. this is one of the answers in a list of predefined answers for a multiple choice question).
    </t>
  </si>
  <si>
    <t>ASP</t>
  </si>
  <si>
    <t xml:space="preserve">
Association of Superannuation Professionals (ASP)
    </t>
  </si>
  <si>
    <t>Assessment Activity</t>
  </si>
  <si>
    <t xml:space="preserve">
Any assessment or evaluation activity occurring at a given place or time. This often involves any one or more of the following: (1) an expert opinion (2) use of specialized instrumentation (3) use of analytical systems.
e.g: The inspection of a structure to determine insurability.
    </t>
  </si>
  <si>
    <t>Assessment Activity  Method Code</t>
  </si>
  <si>
    <t xml:space="preserve">
The method used for the assessment.
    </t>
  </si>
  <si>
    <t>Assessment Result</t>
  </si>
  <si>
    <t xml:space="preserve">
The result of an evaluation, based on an expert opinion, on the use of specialized instrumentation, or on the use of analytical systems.
This includes scores (of parties, market segments, policies, and places) calculated for risk assessment, marketing or other purposes, financial valuations (of parties, market segments, agreements and physical objects) and conditions (of parties, places, or physical objects).
    </t>
  </si>
  <si>
    <t>Assessment Result  Assessed Party</t>
  </si>
  <si>
    <t xml:space="preserve">
This represents the party that served as the subject of the assessment (e.g. the assessed party).
    </t>
  </si>
  <si>
    <t>Assessment Result  Assessed Physical Object</t>
  </si>
  <si>
    <t xml:space="preserve">
This represents the physical object that was the subject of an assessment result (e.g. the assessed physical object).
    </t>
  </si>
  <si>
    <t>Assessment Result  Assessed Place</t>
  </si>
  <si>
    <t xml:space="preserve">
This is the geographic place associated with an assessment result (e.g. the assessed place).
    </t>
  </si>
  <si>
    <t>Assessment Result  Description</t>
  </si>
  <si>
    <t xml:space="preserve">
A free-text statement used to describe the assessment result.
    </t>
  </si>
  <si>
    <t>Assessment Result  Effective Period</t>
  </si>
  <si>
    <t xml:space="preserve">
The  period during which the assessment result is valid.
    </t>
  </si>
  <si>
    <t>Assessment Result  Generated Activity</t>
  </si>
  <si>
    <t xml:space="preserve">
This represents an activity that is generated/caused by an assessment result.
    </t>
  </si>
  <si>
    <t>Assessment Result  Involved In Claim</t>
  </si>
  <si>
    <t xml:space="preserve">
This represents the claim in which the assessment result is involved.
    </t>
  </si>
  <si>
    <t>Assessment Result  Originating Assessment Activity</t>
  </si>
  <si>
    <t xml:space="preserve">
This represents the assessment activity from which the assessment result originated.
    </t>
  </si>
  <si>
    <t>Assessment Result  Reliability Code</t>
  </si>
  <si>
    <t xml:space="preserve">
The presumed accuracy of the assessment result. 
e.g: Estimated 
e.g: Known
    </t>
  </si>
  <si>
    <t>Assessment Result Category</t>
  </si>
  <si>
    <t xml:space="preserve">
This concept specifies an assessment result category.
    </t>
  </si>
  <si>
    <t>Assessment Result Status</t>
  </si>
  <si>
    <t xml:space="preserve">
This represents the status of an assessment result.
    </t>
  </si>
  <si>
    <t>Assessment Result Status  Code</t>
  </si>
  <si>
    <t xml:space="preserve">
The current status of the assessment result within the life-cycle model.
    </t>
  </si>
  <si>
    <t>Assessment Result Status  Reason Code</t>
  </si>
  <si>
    <t>Assessment Scenario Category</t>
  </si>
  <si>
    <t xml:space="preserve">
This concept specifies an assessment scenario category.
    </t>
  </si>
  <si>
    <t>Asset</t>
  </si>
  <si>
    <t xml:space="preserve">
Entity with exchange or commercial value, such as the book value of property owned by an insurance company as listed on its balance sheet.
    </t>
  </si>
  <si>
    <t>Asset Account</t>
  </si>
  <si>
    <t xml:space="preserve">
The representation of an internal account that holds assets of the modeled organization. 
e.g: The accounts receivable asset account of policyholder John Doe that is consolidated into the general accounts receivable asset account. 
e.g: A claim that an enterprise is pursuing through legal processes, where the outcome is uncertain.
    </t>
  </si>
  <si>
    <t>Asset Account  Hedged Account</t>
  </si>
  <si>
    <t xml:space="preserve">
This represents the account that is hedged by another account.
    </t>
  </si>
  <si>
    <t>Asset Account  Type Code</t>
  </si>
  <si>
    <t xml:space="preserve">
A code indicating a type of asset account.
    </t>
  </si>
  <si>
    <t>Asset Allocation</t>
  </si>
  <si>
    <t xml:space="preserve">
Long term investment plan strategy offered by some variable annuities, under which an investor's investable assets are divided into pre-determined proportions among several different types of securities, each offering a different investment objective.
    </t>
  </si>
  <si>
    <t>Asset Allocation Model</t>
  </si>
  <si>
    <t xml:space="preserve">
A pre-selected set of sub-accounts and allocation percentages that are used as an investment feature within an investment product. They are structured to provide a certain investment objective such as preservation of capital, income generation, balanced growth, etc.
    </t>
  </si>
  <si>
    <t>Asset Category</t>
  </si>
  <si>
    <t xml:space="preserve">
This concept specifies an asset category.
    </t>
  </si>
  <si>
    <t>Asset Holding</t>
  </si>
  <si>
    <t xml:space="preserve">
An account that holds a specific number of units of a financial asset. This is used to manage an insurance company's internal investment portfolio only. For managing accounts associated with an agreement (either insurance or investment), see InvestmentVehicleComponent.
e.g: 50 Units in The World Stock Fund Plus Global.
    </t>
  </si>
  <si>
    <t>Asset Holding  Amount</t>
  </si>
  <si>
    <t xml:space="preserve">
The monetary value (at market price) of the asset holding. This value evolves over time and is only meaningful for a particular date.
    </t>
  </si>
  <si>
    <t>Asset Holding  Estimated Cash Value Amount</t>
  </si>
  <si>
    <t xml:space="preserve">
Estimated value of this asset holding.
    </t>
  </si>
  <si>
    <t>Asset Holding  Estimated Cash Value Based On Date Time</t>
  </si>
  <si>
    <t xml:space="preserve">
The date (and time) for which the value in EstimatedCashValueAmount is based.
    </t>
  </si>
  <si>
    <t>Asset Holding  Unit Count</t>
  </si>
  <si>
    <t xml:space="preserve">
The numbers of (countable) units held in the financial asset. This is the balance of all the quantities from the asset holding details.
    </t>
  </si>
  <si>
    <t>Asset Holding Detail</t>
  </si>
  <si>
    <t xml:space="preserve">
An account entry on an asset holding such as a mutual fund associated to a universal life policy. The defining characteristic of the entry is the quantity (or number of units in the case of a unit holding). 
e.g: A credit of 10 units as an entry on a unit holding for a unit-linked policy invested in the Acme Securities Fund.
    </t>
  </si>
  <si>
    <t>Asset Holding Detail  Unit Count</t>
  </si>
  <si>
    <t xml:space="preserve">
The quantity (units count)  recorded in the asset holding detail. 
e.g: A debit of 10 shares of stock.
    </t>
  </si>
  <si>
    <t>Asset Value</t>
  </si>
  <si>
    <t xml:space="preserve">
An amount of money representing the price of one unit or one share of an financial asset. There are different types of prices (bid, offer and mid for example) as expressed in the price type. 
e.g: USD 2.511 is the unit bid price on April 15, 1997 for Executive Managed Fund.
    </t>
  </si>
  <si>
    <t>Asset Value  Effective Period</t>
  </si>
  <si>
    <t xml:space="preserve">
The time period that an asset price is effective.
    </t>
  </si>
  <si>
    <t>Asset Value  Price Amount</t>
  </si>
  <si>
    <t xml:space="preserve">
The price for a given Price type for the financial asset over an effective period defined by Start date and End date.
    </t>
  </si>
  <si>
    <t>Asset Value  Price Type Code</t>
  </si>
  <si>
    <t xml:space="preserve">
The basis on which the asset price is calculated. 
e.g: Bid: Price at which you can buy the asset 
e.g: Cancellation:  Price at which you can sell the asset when withdrawn. 
e.g: Creation: Price at which you can buy the asset when launched (InitialPublic Offering) 
e.g: Mid: Average price between the Bid and the Offer. This could be used for transactions such as a fund switch. 
e.g: Offer: Price at which you can sell the asset 
e.g: Par value: The specified final amount that an issuer promises to pay to the owner of a bond at the date of maturity
    </t>
  </si>
  <si>
    <t>Assigned Identifier</t>
  </si>
  <si>
    <t xml:space="preserve">
This concept represents a party or system assignment of an identifier to a given concept for identification purposes.
    </t>
  </si>
  <si>
    <t>Assigned Identifier  Assignor</t>
  </si>
  <si>
    <t xml:space="preserve">
This represents the party role acting as the "assignor" of the assigned identifier.
    </t>
  </si>
  <si>
    <t>Assigned Identifier  Assignor Code</t>
  </si>
  <si>
    <t xml:space="preserve">
A code identifying the owner/party/system that assigned the identifier.
    </t>
  </si>
  <si>
    <t>Assigned Identifier  Identified Object</t>
  </si>
  <si>
    <t xml:space="preserve">
This represents the concept identified by an assigned identifier.
    </t>
  </si>
  <si>
    <t>Assigned Identifier  Identifier</t>
  </si>
  <si>
    <t xml:space="preserve">
The identifier assigned by the party acting as the assignor.
For example, if the insurer assigns vehicles a numbering scheme (e.g. vehicle #1, vehicle #2, etc.) this property accounts for "1", "2", etc.
    </t>
  </si>
  <si>
    <t>Assignment Of Benefits</t>
  </si>
  <si>
    <t xml:space="preserve">
Transfer of rights under an insurance contract to another person or business, for purposes such as securing a loan, etc.
    </t>
  </si>
  <si>
    <t>Assignment Order</t>
  </si>
  <si>
    <t xml:space="preserve">
This concept is a generalizing concept describing the formal message assigning a person or an organization to a task.
    </t>
  </si>
  <si>
    <t>Assignment Order  Description</t>
  </si>
  <si>
    <t xml:space="preserve">
Free description
    </t>
  </si>
  <si>
    <t>Assumed Investment Return</t>
  </si>
  <si>
    <t xml:space="preserve">
Percentage return appropriated by the insurer for an immediate variable annuity when the insurer calculates the initial income payment to the annuitant.
    </t>
  </si>
  <si>
    <t>AST</t>
  </si>
  <si>
    <t xml:space="preserve">
Aspartate transaminase (AST)
    </t>
  </si>
  <si>
    <t>ATM</t>
  </si>
  <si>
    <t xml:space="preserve">
Automated Teller Machine (ATM)
    </t>
  </si>
  <si>
    <t>Attachment</t>
  </si>
  <si>
    <t xml:space="preserve">
1. A written agreement that adds to or amends the provisions of the contract.
2. Any type of information sent in support of an ACORD standard message. The information may be provided in a structured (ACORD or other type of standard) or unstructured format. It may be sent at the same time as the supported message or follow later. It is used to supply additional details necessary to complete the information required in a business process. Examples: Risk placement message with a policy wording attachment. Claim message accompanied by surveyor?s report. Technical Account message supported by a premium adjustment calculation.
    </t>
  </si>
  <si>
    <t>Attribute Data Value</t>
  </si>
  <si>
    <t xml:space="preserve">
This concept represents the type and possible values of a given attribute specification.
e.g: The liability coverage has limits of $15,000, $25,000 and $50,000 US
    </t>
  </si>
  <si>
    <t>Attribute Data Value  Data Type Code</t>
  </si>
  <si>
    <t xml:space="preserve">
A code indicating the data type applicable to the attribute.
    </t>
  </si>
  <si>
    <t>Attribute Data Value  Data Value</t>
  </si>
  <si>
    <t xml:space="preserve">
The value of the property specification.
    </t>
  </si>
  <si>
    <t>Attribute Data Value  Default Indicator</t>
  </si>
  <si>
    <t xml:space="preserve">
An optional attribute used to indicate this value is the default value.
    </t>
  </si>
  <si>
    <t>Attribute Enumeration Rule</t>
  </si>
  <si>
    <t xml:space="preserve">
This class defines the list of allowable values for an attribute.
    </t>
  </si>
  <si>
    <t>Attribute Enumeration Rule  Allowed Attribute Value</t>
  </si>
  <si>
    <t xml:space="preserve">
This represents an allowed attribute data value. (e.g. a set of predefined values for this specification).  
For example, the occurrence limit for liability coverage has allowable values of 5000, 10000, 50000 and 100000.
    </t>
  </si>
  <si>
    <t>Attribute Range Rule</t>
  </si>
  <si>
    <t xml:space="preserve">
This class defines allowed range of values for an attribute value.
    </t>
  </si>
  <si>
    <t>Attribute Range Rule  Increment</t>
  </si>
  <si>
    <t xml:space="preserve">
This represents the applicable increment for a range.
For example, the minimum and maximum may be 10,000 and 25,000 with an increment of 5,000; therefore, values beginning with 10,000 and then incremented up by 5,000 until reaching the maximum of 25,000 apply (e.g. 10,000; 15,000; 20,000; 25,000).
    </t>
  </si>
  <si>
    <t>Attribute Range Rule  Maximum Value</t>
  </si>
  <si>
    <t xml:space="preserve">
The specified maximum value of this specification.  Used in conjunction with min value to provide a range rule in place for this property specification.
    </t>
  </si>
  <si>
    <t>Attribute Range Rule  Minimum Value</t>
  </si>
  <si>
    <t xml:space="preserve">
The specified minimum value of this specification.  Used in conjunction with max value to provide a range rule in place for this property specification.
    </t>
  </si>
  <si>
    <t>Attribute Rule</t>
  </si>
  <si>
    <t xml:space="preserve">
This class defines the specific details and restrictions for an attribute specification.
    </t>
  </si>
  <si>
    <t>Attribute Rule  Is Constant Indicator</t>
  </si>
  <si>
    <t xml:space="preserve">
This attribute indicates that the value of this property specification cannot be changed within this version of the ProductDefinition
These are typically used as inputs into Rules and Calculations
    </t>
  </si>
  <si>
    <t>ATV</t>
  </si>
  <si>
    <t xml:space="preserve">
All Terrain Vehicle (ATV)
    </t>
  </si>
  <si>
    <t xml:space="preserve">
Associate in Commercial Underwriting (AU)
    </t>
  </si>
  <si>
    <t>Audio Profile</t>
  </si>
  <si>
    <t xml:space="preserve">
Communication profile that specifies the preferences for tailoring the appearance of a communication that uses voice or other sound. 
e.g: A hard of hearing person prefers to be spoken to loudly.
    </t>
  </si>
  <si>
    <t>Audio Profile  Relay Service Indicator</t>
  </si>
  <si>
    <t xml:space="preserve">
Indicates that the person uses a third party to relay the speech portions of telephone conversations using a teletype device and, possibly, to speak the teletype responses. 
Is derived from relationship authorized relay service. 
e.g: no 
e.g: yes
    </t>
  </si>
  <si>
    <t>Audio Profile  Sign Language Code</t>
  </si>
  <si>
    <t xml:space="preserve">
A code representing the preferred locale-specific sign language (see ISO 639).
    </t>
  </si>
  <si>
    <t>Audio Profile  Sign Language Indicator</t>
  </si>
  <si>
    <t xml:space="preserve">
Indicates that the person prefers to communicate using sign language.
    </t>
  </si>
  <si>
    <t>Audio Profile  Sound Amplification Code</t>
  </si>
  <si>
    <t xml:space="preserve">
Hearing communication preference that allows selection of sound amplification for low frequency, high frequency, or the full spectrum. 
e.g: default 
e.g: high 
e.g: high frequency only 
e.g: low 
e.g: low frequency only 
e.g: medium
    </t>
  </si>
  <si>
    <t>Audio Profile  Speech Replacement Indicator</t>
  </si>
  <si>
    <t xml:space="preserve">
Indicates that if speech, or other information conveying sound, is used in a communication, like via a web site, the speech should be provided with closed captioning and an equivalent text is provided. 
e.g: no 
e.g: yes
    </t>
  </si>
  <si>
    <t>Audio Profile  Teletype Indicator</t>
  </si>
  <si>
    <t xml:space="preserve">
Indicates that the person uses a teletype device (TTY) for telephone communications. A teletype device is a device that allows to type text to, read text from and transmit text via a telephone. 
e.g: no 
e.g: yes
    </t>
  </si>
  <si>
    <t>Audio Profile  Visual Alert Indicator</t>
  </si>
  <si>
    <t xml:space="preserve">
Indicates that a visual alert should be provided in addition to, or instead of, an audio alert. This preference applies to the use of alerts on web pages.
    </t>
  </si>
  <si>
    <t>Audit Method</t>
  </si>
  <si>
    <t xml:space="preserve">
The technique to be used while conducting the audit. Examples include: physical, telephone, mail, etc.
    </t>
  </si>
  <si>
    <t>Audit Render</t>
  </si>
  <si>
    <t xml:space="preserve">
The destination of an audit report.
    </t>
  </si>
  <si>
    <t>Audit Source</t>
  </si>
  <si>
    <t xml:space="preserve">
Identifies the origin of the audit information. An example: Certified Public Accountant.
    </t>
  </si>
  <si>
    <t>Audit Transaction</t>
  </si>
  <si>
    <t xml:space="preserve">
This identifies the type of audit performed. Examples include: Revised Interim, Final, Revised Final, Interim.
    </t>
  </si>
  <si>
    <t>AUGIE</t>
  </si>
  <si>
    <t xml:space="preserve">
ACORD User Group Information Exchange (AUGIE)
    </t>
  </si>
  <si>
    <t>Authorization Appeal</t>
  </si>
  <si>
    <t xml:space="preserve">
The process that allows a fair reconsideration of an adverse Medical Necessity decision.
    </t>
  </si>
  <si>
    <t>Authorized Representative</t>
  </si>
  <si>
    <t xml:space="preserve">
A person empowered by the claimant to stand or act in their place, such as an attorney.
    </t>
  </si>
  <si>
    <t>Automatic Premium Loan Provision</t>
  </si>
  <si>
    <t xml:space="preserve">
A provision in a life insurance contract, where if the premium due has not been paid at the end of the grace period, a contract loan will automatically be made from the contract's cash value to pay the premium.
    </t>
  </si>
  <si>
    <t>Avalanche</t>
  </si>
  <si>
    <t xml:space="preserve">
An avalanche is a sudden rapid flow of snow down a slope, occurring when either natural triggers or human activity causes a critical escalating transition from the slow equilibrium evolution of the snow pack.
    </t>
  </si>
  <si>
    <t>Aviation Experience</t>
  </si>
  <si>
    <t xml:space="preserve">
This represents aviation experience as a lifestyle activity (e.g. leisure pursuit).
    </t>
  </si>
  <si>
    <t>BAB</t>
  </si>
  <si>
    <t xml:space="preserve">
Beta Adrenergic Blockers (BAB)
    </t>
  </si>
  <si>
    <t>Back End Load</t>
  </si>
  <si>
    <t xml:space="preserve">
A fee charged at the time of sale, transfer, disposition of, or withdrawal of funds of an insurance product or investment.
    </t>
  </si>
  <si>
    <t>Back Premium</t>
  </si>
  <si>
    <t xml:space="preserve">
In life insurance, the portion of a reinstatement premium for the break in coverage period.
    </t>
  </si>
  <si>
    <t>Backdating</t>
  </si>
  <si>
    <t xml:space="preserve">
A procedure for making the effective date of a contract or endorsement earlier than the transaction date.
    </t>
  </si>
  <si>
    <t>Bailout Provision</t>
  </si>
  <si>
    <t xml:space="preserve">
In an annuity, a clause that enables the contract owner to withdraw his or her money without surrender penalties; if the annual interest rate is lowered below a certain pre-determined minimum.
    </t>
  </si>
  <si>
    <t>Ballooning Experience</t>
  </si>
  <si>
    <t xml:space="preserve">
This represents ballooning experience as a lifestyle activity (e.g. leisure pursuit).
    </t>
  </si>
  <si>
    <t>Bank</t>
  </si>
  <si>
    <t xml:space="preserve">
This concept states one's role as a bank.
    </t>
  </si>
  <si>
    <t>Bank  Registering Bank Registration</t>
  </si>
  <si>
    <t xml:space="preserve">
This represents the bank registration to which a bank is a registrant.
    </t>
  </si>
  <si>
    <t>Bank Account Transaction Payee</t>
  </si>
  <si>
    <t xml:space="preserve">
Identifies the person or organization that is to receive the money paid through the financial transaction.
    </t>
  </si>
  <si>
    <t>Bank Distribution Relationship</t>
  </si>
  <si>
    <t xml:space="preserve">
This concept describes a bank distribution relationship: i.e. a bank selling insurance products on behalf of an insurance provider.
    </t>
  </si>
  <si>
    <t>Bank Registration</t>
  </si>
  <si>
    <t xml:space="preserve">
An authorization, often by a regulatory body, granting the right to conduct certain classes of banking or investment business in given territories. This has usually to be granted on top of a normal company registration.
A bank registration is authorized by a central bank, a Bank Supervisory Body or a Bankers Association in a country assigned to all its licensed member banks. The rules vary to great extent between the countries.
    </t>
  </si>
  <si>
    <t>Bank Registration  Registrant</t>
  </si>
  <si>
    <t xml:space="preserve">
This represents the registered bank (e.g. registrant) of a bank registration.
    </t>
  </si>
  <si>
    <t>Bank Transfer Method</t>
  </si>
  <si>
    <t xml:space="preserve">
This represents a payment method involving funds moving via a bank transfer.
    </t>
  </si>
  <si>
    <t>Bank Transfer Method  Authorizing Account Agreement</t>
  </si>
  <si>
    <t xml:space="preserve">
This represents the account agreement that authorizes a bank fund transfer.
    </t>
  </si>
  <si>
    <t>Bank Transfer Method  Type Code</t>
  </si>
  <si>
    <t xml:space="preserve">
This represents the type of bank transfer.
    </t>
  </si>
  <si>
    <t>Bank/Account Issuer</t>
  </si>
  <si>
    <t xml:space="preserve">
An organization which conducts financial transactions, particularly the trading of legal tenders and securities. Financial institution providing a facility for individuals or organizations to deposit and withdraw funds.
    </t>
  </si>
  <si>
    <t>Bankruptcy</t>
  </si>
  <si>
    <t xml:space="preserve">
This concept represents a bankruptcy event (e.g. the party is unable to re-pay debts owed, resulting in bankruptcy).
    </t>
  </si>
  <si>
    <t>Barrier</t>
  </si>
  <si>
    <t xml:space="preserve">
A barrier or barricade is a physical structure which blocks or impedes something.
    </t>
  </si>
  <si>
    <t>Barrier  Type Code</t>
  </si>
  <si>
    <t xml:space="preserve">
This indicates the type of barrier (e.g. a dam, a levee, etc.).
    </t>
  </si>
  <si>
    <t>Base Flood Elevation</t>
  </si>
  <si>
    <t xml:space="preserve">
The measurement above sea level (e.g. feet or meters). Base Flood Elevation is typically used as a risk factor in Homeowners and Commercial Property.
    </t>
  </si>
  <si>
    <t>Base Insurance Product</t>
  </si>
  <si>
    <t xml:space="preserve">
An Insurance product that constitutes the base product of the insurance agreement. Other insurance products might be optionally added to the agreement. An example of this would be Variable Life or General Liability.
    </t>
  </si>
  <si>
    <t>Basis Point</t>
  </si>
  <si>
    <t xml:space="preserve">
Unit used to measure movement in interest rates. It is equivalent to one one-hundredth of 1%. One hundred basis points equals 1%.
    </t>
  </si>
  <si>
    <t>BCAM</t>
  </si>
  <si>
    <t xml:space="preserve">
Builders &amp; Contractors Associations of Mississippi (BCAM)
    </t>
  </si>
  <si>
    <t>BCEG</t>
  </si>
  <si>
    <t xml:space="preserve">
Building Code Effectiveness Grading (BCEG)
    </t>
  </si>
  <si>
    <t>BCEGS</t>
  </si>
  <si>
    <t xml:space="preserve">
Building Code Effectiveness Grading Schedule (BCEGS)
    </t>
  </si>
  <si>
    <t>BCGT</t>
  </si>
  <si>
    <t xml:space="preserve">
Beta Chorionicgonadotroph (BCGT)
    </t>
  </si>
  <si>
    <t>Benefactor</t>
  </si>
  <si>
    <t xml:space="preserve">
A person or organization who confers a benefit on another person or organization.
    </t>
  </si>
  <si>
    <t>Beneficiary</t>
  </si>
  <si>
    <t xml:space="preserve">
A party who is designated by the owner of an insurance policy to receive the proceeds from one or more of the benefits defined within the terms of the policy. 
e.g: Mary Smith, as beneficiary of an endowment policy.
    </t>
  </si>
  <si>
    <t>Beneficiary  Accepted Indicator</t>
  </si>
  <si>
    <t xml:space="preserve">
Indicates whether this beneficiary has explicitly accepted the beneficial rights of the financial services agreement in the context of which this role is being played.  
Such acceptance may have the consequence that the policyholder can no longer solely decide about changes to the insurance policy.
    </t>
  </si>
  <si>
    <t>Beneficiary  Benefit Distribution Calculation Code</t>
  </si>
  <si>
    <t xml:space="preserve">
Indicates the way the share of the benefit for this beneficiary is calculated.
    </t>
  </si>
  <si>
    <t>Beneficiary  Designation Code</t>
  </si>
  <si>
    <t xml:space="preserve">
Designation of beneficiary. Indicates how the beneficiary will be identified. 
e.g: By name 
e.g: Children of the insured 
e.g: Domestic partner 
e.g: Insured 
e.g: Spouse
    </t>
  </si>
  <si>
    <t>Beneficiary  Irrevocable Indicator</t>
  </si>
  <si>
    <t xml:space="preserve">
Indicates whether or not the beneficiary is irrevocable. TRUE if irrevocable, FALSE if revocable.
    </t>
  </si>
  <si>
    <t>Beneficiary  Legal Wording</t>
  </si>
  <si>
    <t xml:space="preserve">
The exact, legal, beneficiary description.
    </t>
  </si>
  <si>
    <t>Beneficiary  Part Exempt From Taxes Percentage</t>
  </si>
  <si>
    <t xml:space="preserve">
Indicates the percentage of the benefit amount that can be excluded from current income for the purpose of calculating income taxation.
    </t>
  </si>
  <si>
    <t>Beneficiary Designation</t>
  </si>
  <si>
    <t xml:space="preserve">
The identification of the recipient of a death benefit, typically on a life insurance or annuity contract.
    </t>
  </si>
  <si>
    <t>Benefit</t>
  </si>
  <si>
    <t xml:space="preserve">
This concept represents a financial benefit granted to a party under the terms and conditions of an agreement (e.g.  insurance contract, financial services contract, etc.). Goods or services are another form of benefit. Their cost may be covered by the financial benefit granted under an  agreement. For example, an accident insurance agreement may provide that certain sums be paid for death, loss of limbs or sight, or loss of time. These specified amounts are the benefits provided by the agreement.
    </t>
  </si>
  <si>
    <t>Benefit  Duration</t>
  </si>
  <si>
    <t xml:space="preserve">
This represents the amount of time (e.g. 1 year, 3 months, etc.) for which the benefit applies.
    </t>
  </si>
  <si>
    <t>Benefit  Eligibility Duration</t>
  </si>
  <si>
    <t xml:space="preserve">
Time following the eligibility date during which the  insured  may apply for insurance without evidence of insurability. 
e.g: 31 days.
    </t>
  </si>
  <si>
    <t>Benefit  Exercise Date Time</t>
  </si>
  <si>
    <t xml:space="preserve">
This is the date (and time) when the benefit can next be elected or activated.
For example, Life insurance - Automatic Increase Rider
    </t>
  </si>
  <si>
    <t>Benefit  Index Percent</t>
  </si>
  <si>
    <t xml:space="preserve">
This represents the annual percentage by which the Benefit Index will change (is relevant when structure code = increasing or decreasing).
    </t>
  </si>
  <si>
    <t>Benefit  Lifetime Qualification Age</t>
  </si>
  <si>
    <t xml:space="preserve">
If total disability occurs before this age, benefits will be payable for life; otherwise, disability benefit duration will be limited.
    </t>
  </si>
  <si>
    <t>Benefit  Paid To Date Time</t>
  </si>
  <si>
    <t xml:space="preserve">
The date (and time) to which the agreement/contract is currently funded.
    </t>
  </si>
  <si>
    <t>Benefit  Paid Up Date Time</t>
  </si>
  <si>
    <t xml:space="preserve">
The date (and time) the benefit is or will be paid up. Paid up means that no further premium payments are required. For example, the date may be based on guaranteed interest and Guaranteed Cost of Inflation (COI) assumptions.
    </t>
  </si>
  <si>
    <t>Benefit  Payment Frequency Code</t>
  </si>
  <si>
    <t xml:space="preserve">
A code indicating the frequency of benefit payment.
    </t>
  </si>
  <si>
    <t>Benefit  Period Type Code</t>
  </si>
  <si>
    <t xml:space="preserve">
A code indicating the type of period for which benefits apply (e.g. until a person's particular age, a specified time period, etc.).
    </t>
  </si>
  <si>
    <t>Benefit  Premium Payment Duration</t>
  </si>
  <si>
    <t xml:space="preserve">
The period of time (e.g. number of years, months, etc.) for which premiums are paid in a fixed premium plan. In a flexible premium plan the maximum period of time (e.g. number of years, months, etc.) to which premiums can be accepted.
    </t>
  </si>
  <si>
    <t>Benefit  Premium Payment Until Age</t>
  </si>
  <si>
    <t xml:space="preserve">
The age until which premiums are paid in a fixed plan. In a flexible premium plan the maximum age until which premiums can be accepted.
    </t>
  </si>
  <si>
    <t>Benefit  Structure Code</t>
  </si>
  <si>
    <t xml:space="preserve">
A code representing the structure of the benefit(s).
    </t>
  </si>
  <si>
    <t>Benefit  To Age</t>
  </si>
  <si>
    <t xml:space="preserve">
The person's age to which benefits apply.
    </t>
  </si>
  <si>
    <t>Benefit Allowance</t>
  </si>
  <si>
    <t xml:space="preserve">
Benefit by which the insurer pays a lump sum or payment at a given frequency for a defined allowance period. This benefit is generally included in the event that the risk materializes (pensions, annuities, disability, unemployment, etc.). Examples include: the waiver of premium allowance, which is an exemption of premium, and the repayment on loan expiry, by which the insurer repays a part of the amount borrowed by the insured.
    </t>
  </si>
  <si>
    <t>Benefit Distribution</t>
  </si>
  <si>
    <t xml:space="preserve">
A term used in the designation of beneficiaries when there is more than one beneficiary and one or more of the beneficiaries may have pre-deceased the insured. The distribution is typically Per Capita or Per Stirpes.
    </t>
  </si>
  <si>
    <t>Benefit Formula</t>
  </si>
  <si>
    <t xml:space="preserve">
Formula or rule for determining the monetary amount payable under each contingency covered by an insurance contract. Example: In group insurance, the formula frequently takes into account salary and position or years of employment at the time the benefit is paid.
    </t>
  </si>
  <si>
    <t>Benefit Period</t>
  </si>
  <si>
    <t xml:space="preserve">
The length of time money will be payable for the defined benefit, under the provisions of an insurance contract.
    </t>
  </si>
  <si>
    <t>Benefit Plan Advisory Committee</t>
  </si>
  <si>
    <t xml:space="preserve">
An organization that advises on employee benefit plans as to amounts of benefit to be paid, how benefits are to be financed, and how employees are to qualify for benefits. An advisory committee only suggests; it does not have line authority.
    </t>
  </si>
  <si>
    <t>Benefit Proration</t>
  </si>
  <si>
    <t xml:space="preserve">
Modification of contract benefits due to circumstances addressed by the contract. For example, the existence of other insurance covering the same contingency. Proration of benefits may lead to coordination of benefits.
    </t>
  </si>
  <si>
    <t>Benefit Rate</t>
  </si>
  <si>
    <t xml:space="preserve">
A factor or percent used within a benefit formula to determine the monetary benefit. For example, within the US Department of Labor Statistics rate for Compensation &amp; Working Conditions: Employer Cost for Employee Compensation might be used to determine lost wages to be paid as a benefit.
    </t>
  </si>
  <si>
    <t>Benefit Reduction</t>
  </si>
  <si>
    <t xml:space="preserve">
A decrease in contract benefits or payments due to the death of a covered person.
    </t>
  </si>
  <si>
    <t>Benefit Request</t>
  </si>
  <si>
    <t xml:space="preserve">
A document prepared by an insured party requesting the payment of a benefit, which sometimes accompanies a claim notification.
    </t>
  </si>
  <si>
    <t>Benefit Schedule</t>
  </si>
  <si>
    <t xml:space="preserve">
A pre-defined table which indicates benefits to be paid under the contract. Types of benefit schedules include: flat amount, coverage amount is a multiple of salary, consumer price index, etc.
    </t>
  </si>
  <si>
    <t>Benefit Specification  Renewal Provision Code</t>
  </si>
  <si>
    <t xml:space="preserve">
A code indicating the applicable renewal provision for the benefit.
    </t>
  </si>
  <si>
    <t>Benefit Status</t>
  </si>
  <si>
    <t xml:space="preserve">
The condition of a benefit. Examples include: Benefits have been exhausted, COBRA, etc.
    </t>
  </si>
  <si>
    <t>Benefit Structure</t>
  </si>
  <si>
    <t xml:space="preserve">
Indicates whether the benefit amount decreases or remains level over time. For example: decreasing (mortgage insurance the benefit decreases as the mortgage amount decreases) or level (fixed amount/face-value over a period of time).
    </t>
  </si>
  <si>
    <t>Benefit Trigger</t>
  </si>
  <si>
    <t xml:space="preserve">
Descriptions of specific conditions or situations that start the payment of benefits. For example, under a long-term care insurance contract, benefits may be paid when the insured cannot perform two or more activities of daily living (ADLs).
    </t>
  </si>
  <si>
    <t>Benefit Type</t>
  </si>
  <si>
    <t xml:space="preserve">
A classification used to define the benefit associated with an insurance coverage. Examples include: changes as in original contract, changes in ration to original contract, level death benefit, etc.
    </t>
  </si>
  <si>
    <t>Betterments</t>
  </si>
  <si>
    <t xml:space="preserve">
See Improvements
    </t>
  </si>
  <si>
    <t>BGA</t>
  </si>
  <si>
    <t xml:space="preserve">
Brokerage General Agent (BGA)
    </t>
  </si>
  <si>
    <t xml:space="preserve">
Bodily Injury (BI)
    </t>
  </si>
  <si>
    <t>BIC</t>
  </si>
  <si>
    <t xml:space="preserve">
Bank Identifier Code (BIC); Bank Investment Contract (BIC)
    </t>
  </si>
  <si>
    <t>Biller</t>
  </si>
  <si>
    <t xml:space="preserve">
A servicing role played by a party in the context of a financial services agreement, whereby the party is responsible for the creation and sending of a bill or account statement to a customer, as a request for payment for a product or service.
    </t>
  </si>
  <si>
    <t>Biller  Days To Epost Count</t>
  </si>
  <si>
    <t xml:space="preserve">
Days to post an electronic payment. The maximum days between receipt of an electronic payment by the biller and posting to the customer's account.
    </t>
  </si>
  <si>
    <t>Biller  Prenote Required Indicator</t>
  </si>
  <si>
    <t xml:space="preserve">
If set to True, the biller requires prenoting by the service provider.
The phrase "prenote" indicates that a party making a payment, such as an employer, has carried out a test payment to make sure it has the payee's correct bank details. This is designed to pick up any errors before the employer begins paying the employee's salary through direct deposit.
    </t>
  </si>
  <si>
    <t>Billing Account Owner</t>
  </si>
  <si>
    <t xml:space="preserve">
This is the name of the person or entity that receives and is responsible for paying the invoice.
    </t>
  </si>
  <si>
    <t>Billing Address</t>
  </si>
  <si>
    <t xml:space="preserve">
The postal address to which an invoice or billing notice should be sent.
    </t>
  </si>
  <si>
    <t>Billing Remittance Address</t>
  </si>
  <si>
    <t xml:space="preserve">
Postal address to which payments should be returned.
    </t>
  </si>
  <si>
    <t>Binding Authority</t>
  </si>
  <si>
    <t xml:space="preserve">
A contract under which a carrier (typically an insurer) delegates their authority to another party to enter into contracts on their behalf. Typically, the intermediary (for example a US Managing Agent) known as the coverholder contracts with one or more carriers or clients and is authorized to act as their intermediary and enter into contracts on behalf of the carriers, subject to the terms and conditions specified in the binding authority.
    </t>
  </si>
  <si>
    <t>BiPRO</t>
  </si>
  <si>
    <t xml:space="preserve">
Brancheninitiative Prozessoptimierung (BiPRO)
    </t>
  </si>
  <si>
    <t>Birth Certificate</t>
  </si>
  <si>
    <t xml:space="preserve">
An official recognition of the birth of a person.
    </t>
  </si>
  <si>
    <t>Birth Certificate  Registered Birth Date Time</t>
  </si>
  <si>
    <t xml:space="preserve">
The date (and time) formally recognized as the birth date of a person.
    </t>
  </si>
  <si>
    <t>Blanket Additional Insured</t>
  </si>
  <si>
    <t xml:space="preserve">
The person or organizations that are covered by an insurance contract in addition to the main insured of the contract. The person or organizations are not named but included automatically based on their relationship to the main insured. A blanket additional insured allows entities that are required by regulation to be included as additional insureds to be automatically covered without being named explicitly.
    </t>
  </si>
  <si>
    <t>Blanket Basis</t>
  </si>
  <si>
    <t xml:space="preserve">
An indication in a single Property Insurance contract that coverage applies to either multiple types of property at a single location or one or more types of property at multiple locations
    </t>
  </si>
  <si>
    <t>Blanket Construction Activity</t>
  </si>
  <si>
    <t xml:space="preserve">
Specifies a type of construction activity that is performed by the named insured or for which the named insured is legally obligated and as such has a legal liability. The blanket construction activity is insurable under a construction liability insurance. The blanket coverage will cover all construction activities of the stated type within the coverage period, independent of the number of activity occurrences or the location, provided the location falls within the covered area of the contract.
    </t>
  </si>
  <si>
    <t>Block Claim</t>
  </si>
  <si>
    <t xml:space="preserve">
A grouping of small claims on a single contract processed as a single claim because individually they are not recoverable.
    </t>
  </si>
  <si>
    <t>BNP</t>
  </si>
  <si>
    <t xml:space="preserve">
Brain Natriuretic Peptide (BNP)
    </t>
  </si>
  <si>
    <t>Boat</t>
  </si>
  <si>
    <t xml:space="preserve">
A boat is a watercraft of any size designed to float or plane, to work or travel on water.
    </t>
  </si>
  <si>
    <t>Boat Specification</t>
  </si>
  <si>
    <t xml:space="preserve">
This represents the specification of the characteristics of a boat.
    </t>
  </si>
  <si>
    <t>Boat Specification  Type Code</t>
  </si>
  <si>
    <t xml:space="preserve">
This represents a type of boat.
    </t>
  </si>
  <si>
    <t>Body Part</t>
  </si>
  <si>
    <t xml:space="preserve">
A part of the body of a Life Form. (Examples: Arm, Hand, Heart, Leg, Lung, Tooth).  There are particular types of life and health insurance that specify certain body parts as risks of insurance.  It is also critical to capture details about individual body parts in the case of health care for procedures around replacement surgery.
    </t>
  </si>
  <si>
    <t>BOM</t>
  </si>
  <si>
    <t xml:space="preserve">
Business Object Model (BOM)
    </t>
  </si>
  <si>
    <t>Bond</t>
  </si>
  <si>
    <t xml:space="preserve">
A type of certificate of indebtedness that pays a fixed rate of interest over its life. Bonds are known as fixed-income securities since the income they provide is known beforehand (as opposed to a share). 
e.g: A corporate bond issued in 2001 and maturing in 2011 bearing an interest of 5% and issued by MIA insurance Company.
    </t>
  </si>
  <si>
    <t>Bond  Par Amount</t>
  </si>
  <si>
    <t xml:space="preserve">
The specified final amount that an issuer promises to pay to the owner of a bond at the date of maturity. Most bonds are issued with a par value of $1,000. Also called face value or maturity value.
    </t>
  </si>
  <si>
    <t>Bond  Total Issued Amount</t>
  </si>
  <si>
    <t xml:space="preserve">
The total issued amount for the bond. 
e.g: A total issue of EUR 100,000,000 for MIA's Insurance Company 2002-2012.
    </t>
  </si>
  <si>
    <t>Bonus Malus System (BMS)</t>
  </si>
  <si>
    <t xml:space="preserve">
In Insurance, a system that adjusts the premium paid by a customer according to their individual claim history.
    </t>
  </si>
  <si>
    <t>Bonus Rate</t>
  </si>
  <si>
    <t xml:space="preserve">
Extra percent of interest credited to an insurance investment, during a specified period of time, for a specified purpose. For example, some annuities credit a 1st year bonus, paid only in the first year, above the normal accumulation interest rate, in order to attract new business.
    </t>
  </si>
  <si>
    <t>Book Of Business</t>
  </si>
  <si>
    <t xml:space="preserve">
A portfolio of contracts held by a certain party, either intermediary or insurer. The portfolio can refer to all policies held by the party or to the subset of those policies which are within a certain line of business.
    </t>
  </si>
  <si>
    <t>BOP</t>
  </si>
  <si>
    <t xml:space="preserve">
Business Owners Policy (BOP)
    </t>
  </si>
  <si>
    <t>Bordereau</t>
  </si>
  <si>
    <t xml:space="preserve">
A list of details underlying an event or transaction, especially one containing an enumeration of risk, premium, or claims details. For example: a premium bordereau, claims bordereau, etc.
    </t>
  </si>
  <si>
    <t>Borrower</t>
  </si>
  <si>
    <t xml:space="preserve">
A party that obtains or receives (something, such as money) on loan for temporary use, intending to give it, or something equivalent or identical, back to the lender.
    </t>
  </si>
  <si>
    <t>BP</t>
  </si>
  <si>
    <t xml:space="preserve">
Blood Pressure (BP)
    </t>
  </si>
  <si>
    <t>BPMN</t>
  </si>
  <si>
    <t xml:space="preserve">
Business Process Model and Notation (BPMN)
    </t>
  </si>
  <si>
    <t>Branch</t>
  </si>
  <si>
    <t xml:space="preserve">
An organization's local business establishment.
e.g: Antwerp office of Acme Insurance as sales and servicing branch for the Antwerp area.
    </t>
  </si>
  <si>
    <t>Branch Office</t>
  </si>
  <si>
    <t xml:space="preserve">
Local business unit of an insurance company, agency, broker or third-party administrator, etc. that markets and services its products and lines of service.
    </t>
  </si>
  <si>
    <t>BRIC</t>
  </si>
  <si>
    <t xml:space="preserve">
Brazil, Russia, India, China (BRIC)
    </t>
  </si>
  <si>
    <t>Bridge</t>
  </si>
  <si>
    <t xml:space="preserve">
This represents a specialized structure built above and across a river, road, or other obstacle to allow people or vehicles to cross it.
    </t>
  </si>
  <si>
    <t>BRMA</t>
  </si>
  <si>
    <t xml:space="preserve">
Brokers &amp; Reinsurance Markets Association (BRMA)
    </t>
  </si>
  <si>
    <t>Brokerage</t>
  </si>
  <si>
    <t xml:space="preserve">
Amount paid to a broker for reinsurance placement and other services.
    </t>
  </si>
  <si>
    <t>Brokerage Amount</t>
  </si>
  <si>
    <t xml:space="preserve">
Commission paid to a broker for selling an insurance company's products. This fee may or may not include an expense allowance depending on the amount of business the broker places with the company.
    </t>
  </si>
  <si>
    <t>Brokerage Basis</t>
  </si>
  <si>
    <t xml:space="preserve">
A formula used to calculate the amount paid to a broker, applied to different levels of premium. For example, gross premium or net premium.
    </t>
  </si>
  <si>
    <t>Brokerage Market</t>
  </si>
  <si>
    <t xml:space="preserve">
Brokerage market is made up producers (intermediaries) who typically write for a variety of insurance carriers. This term is used when marketing to brokers.
    </t>
  </si>
  <si>
    <t>Brokerage Percentage</t>
  </si>
  <si>
    <t xml:space="preserve">
The percentage of the premium (calculation) that will be paid as brokerage amount (fee).
    </t>
  </si>
  <si>
    <t>Buffer Stock Rule</t>
  </si>
  <si>
    <t xml:space="preserve">
This concept allow to parametrize a rule regarding the buffer Stock features (ex: limit: maxBufferStock above which orders are sent to the stockbroker)
    </t>
  </si>
  <si>
    <t>Buffer Stock Rule  Balance Level</t>
  </si>
  <si>
    <t xml:space="preserve">
This is considered the market price for this stock. Also known as equilibrium price, the balance level reflects the point at which quantity demanded and quantity supplied are equal.
    </t>
  </si>
  <si>
    <t>Buffer Stock Rule  Last Update Date Time</t>
  </si>
  <si>
    <t xml:space="preserve">
The date (and time) the rule was last updated.
    </t>
  </si>
  <si>
    <t>Buffer Stock Rule  Maximum Buffer Stock</t>
  </si>
  <si>
    <t xml:space="preserve">
If superior to maximum, then sell units. This is also known as ceiling price.
    </t>
  </si>
  <si>
    <t>Buffer Stock Rule  Minimum Buffer Stock</t>
  </si>
  <si>
    <t xml:space="preserve">
If inferior to minimum, then buy unit. This is also known as floor price.
    </t>
  </si>
  <si>
    <t>Buffer Stock Rule  Order Frequency Code</t>
  </si>
  <si>
    <t xml:space="preserve">
This reflects the frequency at which this rule will be applied in order to determine if orders are invoked.
    </t>
  </si>
  <si>
    <t>Building</t>
  </si>
  <si>
    <t xml:space="preserve">
This concept represents a building.
    </t>
  </si>
  <si>
    <t>Building  High Rise Indicator</t>
  </si>
  <si>
    <t xml:space="preserve">
Indicates whether the building is classified as a high rise.
    </t>
  </si>
  <si>
    <t>Building  Included Occupancy Detail</t>
  </si>
  <si>
    <t xml:space="preserve">
This represents the occupancy detail included within a building.
    </t>
  </si>
  <si>
    <t>Building  Investment Property Indicator</t>
  </si>
  <si>
    <t xml:space="preserve">
This indicates the building was acquired primarily for investment purposes (e.g. income, value/re-sale).
    </t>
  </si>
  <si>
    <t>Building Construction Quality</t>
  </si>
  <si>
    <t xml:space="preserve">
Description of the condition of a building's construction in terms of: the grade of material, workmanship, complexity of construction.
    </t>
  </si>
  <si>
    <t>Building Design Style</t>
  </si>
  <si>
    <t xml:space="preserve">
The architecture design style of the building. For example: warehouse, cathedral, colonial, etc.
    </t>
  </si>
  <si>
    <t>Building Diagram Number</t>
  </si>
  <si>
    <t xml:space="preserve">
The building diagram number that is on the NFIP (National Flood Insurance Program) Elevation certificate.
    </t>
  </si>
  <si>
    <t>Building Entity</t>
  </si>
  <si>
    <t xml:space="preserve">
A building entity represents the part of a structure that can be represented separately from the entire structure. For example, an apartment building has details around the entire structure, but the individual apartments contain details specific to the individual apartment.
    </t>
  </si>
  <si>
    <t>Building Entity  Floor</t>
  </si>
  <si>
    <t xml:space="preserve">
The level of a building entity within a building.
    </t>
  </si>
  <si>
    <t>Building Entity  Included Occupancy Detail</t>
  </si>
  <si>
    <t xml:space="preserve">
This represents the occupancy detail included within a building entity (e.g. some portion of a building).
    </t>
  </si>
  <si>
    <t>Building Occupancy</t>
  </si>
  <si>
    <t xml:space="preserve">
A classification specifying how a structure is inhabited. Examples would be: vacant, occupied, tenant, etc.
    </t>
  </si>
  <si>
    <t>Building Occupancy Purpose</t>
  </si>
  <si>
    <t xml:space="preserve">
The predominant purpose for which a building is used including: residential, retail, commercial, industrial.
    </t>
  </si>
  <si>
    <t>Building Rating Classification</t>
  </si>
  <si>
    <t xml:space="preserve">
A grouping of building risks that have similar exposures or experiences used for rating purposes.
    </t>
  </si>
  <si>
    <t>Building Repair</t>
  </si>
  <si>
    <t xml:space="preserve">
This concept represents a building repair mission performed by a repairman within a claim.
    </t>
  </si>
  <si>
    <t>Building Total Insurable Replacement Cost</t>
  </si>
  <si>
    <t xml:space="preserve">
The monetary value that constitutes the total insurable replacement cost of the building.
    </t>
  </si>
  <si>
    <t>Building Unit</t>
  </si>
  <si>
    <t xml:space="preserve">
This represents a unit within a structure (e.g. an apartment unit, a condominium unit, etc.).
    </t>
  </si>
  <si>
    <t>Building Unit  Type Code</t>
  </si>
  <si>
    <t xml:space="preserve">
This indicates the type of building unit within a structure (e.g. an apartment unit, a condominium unit, etc.).
    </t>
  </si>
  <si>
    <t>Building Wind Classification</t>
  </si>
  <si>
    <t xml:space="preserve">
A rating classification which specifies the wind resistance class for this building. Example: wind resistive, category 4 hurricane.
    </t>
  </si>
  <si>
    <t>Built-Ins</t>
  </si>
  <si>
    <t xml:space="preserve">
Built-Ins are an integral and permanent part of the structure.
    </t>
  </si>
  <si>
    <t>Bulk Claim Payment</t>
  </si>
  <si>
    <t xml:space="preserve">
The total current payment reported covering multiple claim advices separately reported in a supporting document.
    </t>
  </si>
  <si>
    <t>Bulk Material</t>
  </si>
  <si>
    <t xml:space="preserve">
This represents any bulk material or substance generally handled in large amounts of undifferentiated objects.
    </t>
  </si>
  <si>
    <t>Bulk Material  State Code</t>
  </si>
  <si>
    <t xml:space="preserve">
This represents the state of the bulk material (e.g. solid, liquid, etc.).
    </t>
  </si>
  <si>
    <t>Bulk Material  Type Code</t>
  </si>
  <si>
    <t xml:space="preserve">
This represents a type of bulk material.
    </t>
  </si>
  <si>
    <t>BUN</t>
  </si>
  <si>
    <t xml:space="preserve">
Blood Urea Nitrogen (BUN)
    </t>
  </si>
  <si>
    <t>Bureau</t>
  </si>
  <si>
    <t xml:space="preserve">
An organization providing services to the insurance industry. Services may be: contract signing, premium and claims accounting, settlement of balances, etc.
    </t>
  </si>
  <si>
    <t>Burning Cost</t>
  </si>
  <si>
    <t xml:space="preserve">
The ratio of actual past reinsured losses to a ceding company's subject matter premium (written or earned) for the same period.
    </t>
  </si>
  <si>
    <t>Burning Ratio</t>
  </si>
  <si>
    <t xml:space="preserve">
The ratio of actual losses to the total amount of insurance in effect; the ratio of losses that can reasonably be expected to the amount of insurance in effect.
    </t>
  </si>
  <si>
    <t>Bus</t>
  </si>
  <si>
    <t xml:space="preserve">
A bus is a road vehicle designed to carry passengers.
    </t>
  </si>
  <si>
    <t>Bus  Use Code</t>
  </si>
  <si>
    <t xml:space="preserve">
This represents the use type for a bus (e.g. charter, school, etc.).
    </t>
  </si>
  <si>
    <t>Bus Specification</t>
  </si>
  <si>
    <t xml:space="preserve">
This represents the specification of the characteristics of a bus.
    </t>
  </si>
  <si>
    <t>Business Active Indicator</t>
  </si>
  <si>
    <t xml:space="preserve">
An indication of whether or not this business continues operations. (i.e. is still a viable entity.)
    </t>
  </si>
  <si>
    <t>Business Classification</t>
  </si>
  <si>
    <t xml:space="preserve">
Represents a category description given to a business while also representing the business activity performed.
    </t>
  </si>
  <si>
    <t>Business Domestic Location</t>
  </si>
  <si>
    <t xml:space="preserve">
A country in which a contract is issued for a business.
    </t>
  </si>
  <si>
    <t>Business Foreign Locations</t>
  </si>
  <si>
    <t xml:space="preserve">
The country or countries, other than the one in which the contract is issued, for a business.
    </t>
  </si>
  <si>
    <t>Business Legal Entity</t>
  </si>
  <si>
    <t xml:space="preserve">
See Legal Entity.
    </t>
  </si>
  <si>
    <t>Business Provider</t>
  </si>
  <si>
    <t xml:space="preserve">
A person or organization that provides the business to which a contract has been taken out. Typically, the business provider may not always be the distribution channel, usually in charge of selling that product or usually in charge of that customer. The business provider may also not be necessarily allowed to sell that product to that customer (e.g. for restricted marketing reasons, such as geographical area, or line of business). From a commissioning perspective, the business provider may get a part of the sales commission.
    </t>
  </si>
  <si>
    <t>Business Start Date</t>
  </si>
  <si>
    <t xml:space="preserve">
The date the current owners purchased or formed the business.
    </t>
  </si>
  <si>
    <t>Business Total Capital</t>
  </si>
  <si>
    <t xml:space="preserve">
The monetary value of money, property, or stock employed in trade, manufactures, etc.; the sum invested or lent, as distinguished from the income or interest.
    </t>
  </si>
  <si>
    <t>Business Travel</t>
  </si>
  <si>
    <t xml:space="preserve">
For risk evaluation, an indication whether or not the insured travels for business.
    </t>
  </si>
  <si>
    <t>Business Type</t>
  </si>
  <si>
    <t xml:space="preserve">
See Business Classification.
    </t>
  </si>
  <si>
    <t>Business Type Description Operations</t>
  </si>
  <si>
    <t xml:space="preserve">
A text description specifying a type of trade or service, performed by a business at the functional level, applicable to the insurance contract.
    </t>
  </si>
  <si>
    <t>Business Volume Forecast Scenario</t>
  </si>
  <si>
    <t xml:space="preserve">
An estimate of the business volume likely to be generated from an individual as the result of a targeted marketing campaign.
    </t>
  </si>
  <si>
    <t>Buyer</t>
  </si>
  <si>
    <t xml:space="preserve">
A person or organization that is the buyer of goods or services that are provided for in a provider agreement.
    </t>
  </si>
  <si>
    <t>CAILBA</t>
  </si>
  <si>
    <t xml:space="preserve">
Canadian Association of Independent Brokerage Agencies (CAILBA)
    </t>
  </si>
  <si>
    <t>Calculation Rule</t>
  </si>
  <si>
    <t xml:space="preserve">
A mathematical formula used to compute any value needed in the context of a financial services request or on a financial services agreement. 
e.g: The calculation of the premium of a term-life agreement based on mortality tables and customer information.
    </t>
  </si>
  <si>
    <t>Calculation Rule  Calculation Kind Code</t>
  </si>
  <si>
    <t xml:space="preserve">
An indication of when to use the calculation specification. 
e.g: Benefit calculations are used for fixed-contribution products, for which the premium amount is decided by the customer. 
e.g: Commission calculations can be of different kinds: initial commissions are calculated at the creation of the agreement, while renewal commissions are calculated at every policy anniversary. You will also have different calculations for charges taken from the policy and commission expenses paid to the intermediaries. 
e.g: Initialization calculations are general calculations executed at the creation of the agreement. An example would be to calculate the value of deductible properties. 
e.g: Premium calculations are executed when the agreements are created. They can also be executed later on, for example at every renewal or when special events occur that have an impact on the agreements.
e.g: Profit share calculations are usually executed at policy anniversary dates to determine how much of the company's profit the policyholder is entitled to. 
e.g: Reserve calculations are usually calculated on the anniversary dates of a life insurance policy. They can also be calculated on demand, for example when a customer wants to surrender a life insurance policy, or to stop paying the premium so that the policy becomes paid-up. 
e.g: Surrender value calculations are executed in order to determine how much the policy is worth when a customer wants to surrender a life-insurance policy. 
e.g: Tax calculations are executed every time tax needs to be paid, which depending on the country can occur at the creation of the agreement, on each premium payment, on each benefit payment, or on special events that have an impact on the policy.
    </t>
  </si>
  <si>
    <t>Calculation Rule  Formal Definition</t>
  </si>
  <si>
    <t xml:space="preserve">
The statement in formal language, actuarial mathematics or pseudo-code used to explain the content of the calculation specification
    </t>
  </si>
  <si>
    <t>Calendar Rule</t>
  </si>
  <si>
    <t xml:space="preserve">
This concept allow to attach to the back office administration a specific calendar that would allow to calculate the investment date of orders.
    </t>
  </si>
  <si>
    <t>Call Center</t>
  </si>
  <si>
    <t xml:space="preserve">
An insurance company unit that markets and services insurance business using the telephone as the primary means of communication.
    </t>
  </si>
  <si>
    <t>Campaign</t>
  </si>
  <si>
    <t xml:space="preserve">
See Marketing Campaign.
    </t>
  </si>
  <si>
    <t>Campaign Cell</t>
  </si>
  <si>
    <t xml:space="preserve">
The geographical area that a specific campaign will cover.
    </t>
  </si>
  <si>
    <t>Cancellable Contract</t>
  </si>
  <si>
    <t xml:space="preserve">
An individual health insurance contract that gives the insurer the right to terminate the contract at any time for any reason, simply by notifying the contract owner that the contract is canceled and by refunding any advance premium paid for the contract.
    </t>
  </si>
  <si>
    <t>Cancellation</t>
  </si>
  <si>
    <t xml:space="preserve">
The termination of an insurance contract or bond, before its expiration, by either the insured or the insurer.
    </t>
  </si>
  <si>
    <t>Cancellation Evidence Obtained</t>
  </si>
  <si>
    <t xml:space="preserve">
An indicator that a legal notice for termination of all insurance coverage has been sent to a policyholder.
    </t>
  </si>
  <si>
    <t>Cancellation Request</t>
  </si>
  <si>
    <t xml:space="preserve">
This concept states a request for a contract cancellation.
    </t>
  </si>
  <si>
    <t>Cancellation Request  Outcome Type</t>
  </si>
  <si>
    <t xml:space="preserve">
Automatic
Manual
    </t>
  </si>
  <si>
    <t>Cancellation Request  Reason Code</t>
  </si>
  <si>
    <t xml:space="preserve">
A code indicating the reason for cancellation of the agreement.
    </t>
  </si>
  <si>
    <t>Cancellation Type</t>
  </si>
  <si>
    <t xml:space="preserve">
The rule to be followed in calculating the earned premium. For example: flat, fully earned, pro-rate or short rate.
    </t>
  </si>
  <si>
    <t>Capability</t>
  </si>
  <si>
    <t xml:space="preserve">
This concept defines the abilities of a given role, at a specified level for a range of dates. NOTE: This is not a substitution for the concept of occupation or employment functions. Rather, this provides for the function of a party role and the degree or scale to which it is capable of performing said function.
e.g. An insurance company may have the capability to issue and administer only personal automobile policies.
e.g. An underwriter may have the capability / authorization to quote and/or issue policies up to a certain limit and/or premium amount.
e.g. A loss adjuster may have authority to settle and/or pay claims up to certain limits.
e.g: An auto repair shop may be full service or only provide for glass repair.
    </t>
  </si>
  <si>
    <t>Capability  Authorization Level</t>
  </si>
  <si>
    <t xml:space="preserve">
The authorization level of the party as related to a given capability.
e.g. An underwriter has authorization to quote and/or issue policies up to certain coverage limits and/or up to a certain premium amount.
    </t>
  </si>
  <si>
    <t>Capability  Available Period</t>
  </si>
  <si>
    <t xml:space="preserve">
Validity period of the capability at this level.
    </t>
  </si>
  <si>
    <t>Capability  Description</t>
  </si>
  <si>
    <t xml:space="preserve">
Description of the expert competence to define in which type of claim the expert can intervene.
    </t>
  </si>
  <si>
    <t>Capability  Name</t>
  </si>
  <si>
    <t xml:space="preserve">
Name of the expert competence.
    </t>
  </si>
  <si>
    <t>Capability  Owned Capability</t>
  </si>
  <si>
    <t xml:space="preserve">
This represents the owned capability in relation to an owning capability in a tree structure for capability types. It implies that is very easy to state that a capability type is a sub-type of an other. There could be as many sub-types of a type as necessary.
    </t>
  </si>
  <si>
    <t>Capability  Owning Capability</t>
  </si>
  <si>
    <t xml:space="preserve">
This represents the owning capability in relation to one or more other, owned capabilities in a tree structure for capability types. It implies that is very easy to state that a capability type is a sub-type of an other. There could be as many sub-types of a type as necessary.
    </t>
  </si>
  <si>
    <t>Capability  Proficiency Level Code</t>
  </si>
  <si>
    <t xml:space="preserve">
This is the degree to which a party is proficient with a particular capability/function/skill.
e.g. An underwriter trainee is not as proficient as a seasoned underwriter who may have several years of experience.
    </t>
  </si>
  <si>
    <t>Capability Level</t>
  </si>
  <si>
    <t xml:space="preserve">
Identifies the level of physical assistance needed to perform certain activities of daily living but not limited to those capabilities. Examples include: hands-on assistance, no assistance required.
    </t>
  </si>
  <si>
    <t>Capability Restriction</t>
  </si>
  <si>
    <t xml:space="preserve">
This represents a condition involving the potentially restricted capability of the assessed subject. This is especially relevant to a loss of potential opportunities.
Examples:
A person is unable to gain desired employment.
A person is unable to pursue a desired hobby.
Note: In some cases the capability restriction (if any) may not affect a person's income, but does affect the person's enjoyment of life.
    </t>
  </si>
  <si>
    <t>Capitation</t>
  </si>
  <si>
    <t xml:space="preserve">
A method of payment to the number of members in a health benefit plan that the provider contracts to treat. The plan sponsor agrees to pay a uniform periodic fee for each member.
    </t>
  </si>
  <si>
    <t>Captive Producer Market</t>
  </si>
  <si>
    <t xml:space="preserve">
Captive market is one where the agents write, generally exclusively, for one carrier. Producers are typically salaried employees and receive their offices, administrative staff, and support directly from the carrier.
    </t>
  </si>
  <si>
    <t>Car</t>
  </si>
  <si>
    <t xml:space="preserve">
An automobile, autocar, motor car or car is a wheeled motor vehicle used for transporting passengers, which also carries its own engine or motor. Most definitions of the term specify that automobiles are designed to run primarily on roads, to have seating for one to eight people, to typically have four wheels, and to be constructed principally for the transport of people rather than goods.
    </t>
  </si>
  <si>
    <t>Car Specification</t>
  </si>
  <si>
    <t xml:space="preserve">
This represents the specification of the characteristics of a car.
    </t>
  </si>
  <si>
    <t>Car Specification  Body Style Code</t>
  </si>
  <si>
    <t xml:space="preserve">
This represents a body style of a car.
    </t>
  </si>
  <si>
    <t>Card Method</t>
  </si>
  <si>
    <t xml:space="preserve">
This represents a payment method involving a card (e.g. credit card, debit card, etc.).
    </t>
  </si>
  <si>
    <t>Card Method  Authorizing Account Agreement</t>
  </si>
  <si>
    <t xml:space="preserve">
This represents the account agreement that authorizes a payment card (e.g. credit card, debit card, etc.).
    </t>
  </si>
  <si>
    <t>Card Method  Type Code</t>
  </si>
  <si>
    <t xml:space="preserve">
A code indicating a type of financial transaction card.
    </t>
  </si>
  <si>
    <t>Card Method  Utilized Card</t>
  </si>
  <si>
    <t xml:space="preserve">
This is the financial transaction card being utilized for the method of payment.
    </t>
  </si>
  <si>
    <t>Cargo</t>
  </si>
  <si>
    <t xml:space="preserve">
The freight carried by a watercraft, an aircraft, or another vehicle.
    </t>
  </si>
  <si>
    <t>Cargo Transportation</t>
  </si>
  <si>
    <t xml:space="preserve">
The activity of conveying cargo.
e.g: The transportation of perishable foodstuffs from Spain to Belgium by road, such as avocado's.
    </t>
  </si>
  <si>
    <t>Carrier Appointment</t>
  </si>
  <si>
    <t xml:space="preserve">
The act by an insurance company that authorizes an agent to act on its behalf.
    </t>
  </si>
  <si>
    <t>Cart</t>
  </si>
  <si>
    <t xml:space="preserve">
A cart is a type of self-propelled (self-powered) vehicle typically associated with recreational activities (e.g. golf cart, go-kart, etc.).
    </t>
  </si>
  <si>
    <t>Cart Specification</t>
  </si>
  <si>
    <t xml:space="preserve">
This represents the specification of the characteristics of a cart.
    </t>
  </si>
  <si>
    <t>Cart Specification  Type Code</t>
  </si>
  <si>
    <t xml:space="preserve">
This represents a type of cart.
    </t>
  </si>
  <si>
    <t>Cash</t>
  </si>
  <si>
    <t xml:space="preserve">
In English vernacular cash refers to money in the physical form of currency, such as banknotes and coins.
Source: Wikipedia
    </t>
  </si>
  <si>
    <t>Cash Call</t>
  </si>
  <si>
    <t xml:space="preserve">
Provision whereby large losses can be collected from reinsurers, rather than paid by the insurer on an account or from funds withheld or a loss escrow account.
    </t>
  </si>
  <si>
    <t>Cash Flow Estimate</t>
  </si>
  <si>
    <t xml:space="preserve">
Outlook or forecast of all cash receipts (income) and all cash expenditures that are expected to occur during a certain time period. Estimates can be made monthly, bimonthly, or quarterly, and may include core business activities' income and expenditures as well as non-core business activities' items.
    </t>
  </si>
  <si>
    <t>Cash Method</t>
  </si>
  <si>
    <t xml:space="preserve">
In English vernacular cash refers to money in the physical form of currency, such as banknotes and coins.
    </t>
  </si>
  <si>
    <t>Cash Surrender Value (Gross)</t>
  </si>
  <si>
    <t xml:space="preserve">
Money the contract owner is entitled to receive from the insurance company upon surrendering a life insurance contract with cash value.
    </t>
  </si>
  <si>
    <t>Cash Surrender Value (Net)</t>
  </si>
  <si>
    <t xml:space="preserve">
Money the contract owner is entitled to receive from the insurance company upon surrendering a life insurance contract with cash value, net of the surrender charges and loans.
    </t>
  </si>
  <si>
    <t>Cash Value Maturity</t>
  </si>
  <si>
    <t xml:space="preserve">
The specific amount received by an insured at the end of an endowment period, or by the owner of an ordinary life contract who lives to a certain age.
    </t>
  </si>
  <si>
    <t>CAT</t>
  </si>
  <si>
    <t xml:space="preserve">
Computerized Axial Tomography (CAT)
    </t>
  </si>
  <si>
    <t>Catastrophe</t>
  </si>
  <si>
    <t xml:space="preserve">
A severe loss characterized by extreme force, sizable financial loss, and/or multiple injuries. Often abbreviated to "CAT." Often assigned a code to identify an occurrence of a catastrophe.
    </t>
  </si>
  <si>
    <t>Catastrophe Bond</t>
  </si>
  <si>
    <t xml:space="preserve">
A derivative debt investment vehicle issued by insurers and reinsurers designed to raise investor capital to cover catastrophic losses.
    </t>
  </si>
  <si>
    <t>Catastrophe Category</t>
  </si>
  <si>
    <t xml:space="preserve">
A cataclysmic, disastrous incident, a violent usually destructive natural occurrence.
By extension, can be any natural or man-made incident, including terrorism, which results in extraordinary levels of mass casualties, damage, or disruption severely affecting the population, infrastructure, environment, economy, national morale, and/or government functions.
    </t>
  </si>
  <si>
    <t>Catastrophe Category  Occurring Place</t>
  </si>
  <si>
    <t xml:space="preserve">
This is the geographic place associated with a catastrophe categorization.
    </t>
  </si>
  <si>
    <t>Catastrophe Category  Official Declaration Date Time</t>
  </si>
  <si>
    <t xml:space="preserve">
The date (and time) the catastrophe was officially declared by an appropriate source.
    </t>
  </si>
  <si>
    <t>Catastrophe Category  Official Declaration Source</t>
  </si>
  <si>
    <t xml:space="preserve">
Official source responsible for the declaration of the catastrophe.
    </t>
  </si>
  <si>
    <t>Catastrophe Category  Official Declared Indicator</t>
  </si>
  <si>
    <t xml:space="preserve">
Official declaration of the catastrophe by an appropriate source.
    </t>
  </si>
  <si>
    <t>Catastrophe Equity Put</t>
  </si>
  <si>
    <t xml:space="preserve">
An options contract that allows an insurer to exercise an option in the event that losses (the index value) exceed a predetermined level, thus requiring additional equity capital.
    </t>
  </si>
  <si>
    <t>Catastrophe Plan</t>
  </si>
  <si>
    <t xml:space="preserve">
A prepared strategy detailing how a particular organization will respond to a disaster.
    </t>
  </si>
  <si>
    <t>Catastrophe Registration</t>
  </si>
  <si>
    <t xml:space="preserve">
A catastrophe registration represents the official recognition that a catastrophic event has taken place.
    </t>
  </si>
  <si>
    <t>Catastrophe Registration  Affected Place</t>
  </si>
  <si>
    <t xml:space="preserve">
A represents the place affected by the catastrophe for which the catastrophe registration applies.
    </t>
  </si>
  <si>
    <t>Catastrophe Registration  Categorizing Catastrophe Category</t>
  </si>
  <si>
    <t xml:space="preserve">
This represents the categorization of a catastrophe registration.
    </t>
  </si>
  <si>
    <t>Catastrophe Registration  Registered Event</t>
  </si>
  <si>
    <t xml:space="preserve">
This represents the registered event (e.g. the storm "Hurricane Katrina" as registered by the National Hurricane Center/NOAA).
    </t>
  </si>
  <si>
    <t>Catastrophe Reinsurance</t>
  </si>
  <si>
    <t xml:space="preserve">
A form of reinsurance that indemnifies the ceding company for the accumulation of losses in excess of a stipulated sum, arising from a single catastrophic event or series of events.
    </t>
  </si>
  <si>
    <t>Catastrophe Reserves</t>
  </si>
  <si>
    <t xml:space="preserve">
Reserves on the balance sheet of an insurance or reinsurance company. These are held in reserve for unexpected large losses resulting from catastrophic events, e.g. hurricanes, floods, etc. They are held in addition to: 1: reserves for known losses 2: incurred but not reported losses (IBNR).
    </t>
  </si>
  <si>
    <t>Catastrophe Treaty Agreement</t>
  </si>
  <si>
    <t xml:space="preserve">
Catastrophe treaty reinsurance protects the ceding insurer against a loss or losses in excess of a specified retention, from an accumulation of losses caused by a single catastrophic event or a series of events. A catastrophic event may be a sudden, violent, physical event that causes widespread and severe property damage, such as a hurricane. When a catastrophic event occurs, multiple policies are usually implicated, and catastrophe reinsurance protects these multiple losses.
Example: Company A writes 100 automobile policies in 2004 with exposure totaling $100,000. Company A enters into a Catastrophe Treaty Reinsurance agreement with Company B by which Company B agrees to assume all losses above $50,000 in the event of a catastrophic event.
A hurricane causes 25 cars to be totally demolished, resulting in a loss of $75,000. Company B is liable for $25,000.
On that same day, 10 other cars get into random accidents resulting in a loss of $10,000. Company B is not liable for the $10,000 under the Catastrophe Treaty because those ten cars were not damaged by the catastrophic event.
    </t>
  </si>
  <si>
    <t>Catastrophic Risk Exposure</t>
  </si>
  <si>
    <t xml:space="preserve">
A risk exposure arising from external events that are of great magnitude, and that would cause partial or complete discontinuation of the operations of the enterprise.
    </t>
  </si>
  <si>
    <t>Catastrophic Risk Factor Score</t>
  </si>
  <si>
    <t xml:space="preserve">
The rating of characteristics that have an impact on the likelihood of loss to occur. 
The rating of factors that contribute to catastrophic risk.
    </t>
  </si>
  <si>
    <t>Catastrophic Risk Position</t>
  </si>
  <si>
    <t xml:space="preserve">
The estimate of the possible loss for a catastrophic risk exposure.
    </t>
  </si>
  <si>
    <t>Category</t>
  </si>
  <si>
    <t xml:space="preserve">
Category is used to create simple or complex orderings at a high level and is orthogonal to the model (it's associated to InformationModelObject, the common super-type for everything).
Between Category and CategoryScheme, you can "tag" an object (or series of objects) as "high risk," or "marketable" (for example).
A class in the model can belong to multiple categories and can change category over time.
    </t>
  </si>
  <si>
    <t>Category  Available Period</t>
  </si>
  <si>
    <t xml:space="preserve">
The time period from which the category can be used to qualify an object.
    </t>
  </si>
  <si>
    <t>Category  Maximum Count</t>
  </si>
  <si>
    <t xml:space="preserve">
The maximum number of members at any point in time.
    </t>
  </si>
  <si>
    <t>Category  Refresh Date Time</t>
  </si>
  <si>
    <t xml:space="preserve">
The date (and time) on which the membership in the category was most recently updated.
    </t>
  </si>
  <si>
    <t>Category Description</t>
  </si>
  <si>
    <t xml:space="preserve">
A free-text statement used to explain the meaning of the category.
    </t>
  </si>
  <si>
    <t>Category Membership</t>
  </si>
  <si>
    <t xml:space="preserve">
This concept establishes a link between any concept in the model and a related category.
    </t>
  </si>
  <si>
    <t>Category Membership  Categorized Information Model Object</t>
  </si>
  <si>
    <t xml:space="preserve">
This represents the subject of the category membership.
    </t>
  </si>
  <si>
    <t>Category Membership  Categorizing Category</t>
  </si>
  <si>
    <t xml:space="preserve">
This represents the category that categorizes a category membership.
    </t>
  </si>
  <si>
    <t>Category Membership  Effective Period</t>
  </si>
  <si>
    <t xml:space="preserve">
This time period specifically indicates when the Information Model Object has membership of the category.
    </t>
  </si>
  <si>
    <t>Category Name</t>
  </si>
  <si>
    <t xml:space="preserve">
The word or phrase that identifies (but not uniquely) the category.
    </t>
  </si>
  <si>
    <t>Category Scheme</t>
  </si>
  <si>
    <t xml:space="preserve">
The Category Scheme mechanism allows a hierarchical representation of categories to for multiple layers of description of insurance objects.
In other words, a category can be further partitioned into several subcategories according to different criteria, each of which is represented by a category scheme. 
A member of the parent category may belong to multiple subcategories of different category schemes. e.g., Client status.
    </t>
  </si>
  <si>
    <t>Category Scheme  Category Description</t>
  </si>
  <si>
    <t xml:space="preserve">
A free-text statement used to explain the meaning of the category scheme.
    </t>
  </si>
  <si>
    <t>Category Scheme  Exhaustive Indicator</t>
  </si>
  <si>
    <t xml:space="preserve">
Indicates whether the subcategories exhaustively partition the scope of the category scheme (the parent category or the type used as scope of categorization). When a category scheme is defined as exhaustive, every member of the scope must belong to at least one subcategory of the category scheme.
    </t>
  </si>
  <si>
    <t>Category Scheme  Overlapping Indicator</t>
  </si>
  <si>
    <t xml:space="preserve">
Indicates whether a category can belong to more than one subcategory of the category scheme. When a category scheme is defined as overlapping, it can belong to more than one of the scheme's sub-categories.
    </t>
  </si>
  <si>
    <t>Category Scheme Name</t>
  </si>
  <si>
    <t xml:space="preserve">
The word or phrase that identifies (but not uniquely) the category scheme.
    </t>
  </si>
  <si>
    <t>CATV</t>
  </si>
  <si>
    <t xml:space="preserve">
Cable Television (CATV)
    </t>
  </si>
  <si>
    <t>Cause of Loss</t>
  </si>
  <si>
    <t xml:space="preserve">
An event that brings about or triggers loss or damage. Can be direct (the action immediately precedes the loss) or indirect (part of an uninterrupted chain of events leading to the loss). Can be represented by code lists including industry code lists such as the Workers' Compensation Insurance Organization (WCIO), Insurance Services Office (ISO), Bureau of Labor Statistics.
    </t>
  </si>
  <si>
    <t>CBC</t>
  </si>
  <si>
    <t xml:space="preserve">
Complete Blood Count (CBC)
    </t>
  </si>
  <si>
    <t>CCID</t>
  </si>
  <si>
    <t xml:space="preserve">
Credit Card Identifier (CCID)
    </t>
  </si>
  <si>
    <t>CCYY</t>
  </si>
  <si>
    <t xml:space="preserve">
Century Century Year Year (CCYY)
    </t>
  </si>
  <si>
    <t>CDT</t>
  </si>
  <si>
    <t xml:space="preserve">
Carbohydrate-Deficient Transferrin (CDT)
    </t>
  </si>
  <si>
    <t>CEA</t>
  </si>
  <si>
    <t xml:space="preserve">
Carcinoembryonic Antigens (CEA); Commite Europeen des Assurances (CEA)
    </t>
  </si>
  <si>
    <t>CEBS</t>
  </si>
  <si>
    <t xml:space="preserve">
Certified Employee Benefit Specialist (CEBS)
    </t>
  </si>
  <si>
    <t>Cede</t>
  </si>
  <si>
    <t xml:space="preserve">
To transfer insurance risk from an insurer (the ceding insurer, or cedent) to another insurer (the reinsurer).
    </t>
  </si>
  <si>
    <t>Cedent</t>
  </si>
  <si>
    <t xml:space="preserve">
Cedent is the term used to denote the reassured or primary insured under a proportional reinsurance contract. From a practical view, it is an insurer in the role of transferring some of the risks it holds in policies it insures to another insurance company.
Same as Ceding company or Primary insurer.
This concept is also used to define a retrocedent (the reinsurer of an original risk in relation to a contract under which he retrocedes his acceptance) within a retrocession.
A retrocession is the transaction whereby a reinsurer transfers a portion of his reinsurance acceptance to another reinsurer (known as the Retrocessionaire).
    </t>
  </si>
  <si>
    <t>Cedent Deduction For Banking Charges Amount</t>
  </si>
  <si>
    <t xml:space="preserve">
Amount charged by cedent to reinsurer in respect of banking charges paid.
    </t>
  </si>
  <si>
    <t>Cedent Share</t>
  </si>
  <si>
    <t xml:space="preserve">
The amount owed to / by the cedent (the reinsured) under all their reinsurance contracts covering this risk.
    </t>
  </si>
  <si>
    <t>CEDEX</t>
  </si>
  <si>
    <t xml:space="preserve">
Courrier d'Entreprise à Distribution Exceptionnelle (CEDEX)
    </t>
  </si>
  <si>
    <t>Ceding Commission</t>
  </si>
  <si>
    <t xml:space="preserve">
A cedent's acquisition costs and overhead expenses (e.g., taxes). May also contain a profit factor for the reinsured.
    </t>
  </si>
  <si>
    <t>CEFLI</t>
  </si>
  <si>
    <t xml:space="preserve">
Compliance &amp; Ethics Forum for Life Insurers (CEFLI)
    </t>
  </si>
  <si>
    <t>CELI</t>
  </si>
  <si>
    <t xml:space="preserve">
Compte d'épargne Libre d'impôt (CELI)
    </t>
  </si>
  <si>
    <t>CEN</t>
  </si>
  <si>
    <t xml:space="preserve">
European Committee for Standardization (CEN)
    </t>
  </si>
  <si>
    <t>Certificate Of Authority Docket Number</t>
  </si>
  <si>
    <t xml:space="preserve">
The registration number provided by a state or federal governing authority, such as the state public utility commission, to a common carrier providing authorization to transport goods within a state.
    </t>
  </si>
  <si>
    <t>Certificate Recipient Cedent</t>
  </si>
  <si>
    <t xml:space="preserve">
The cedent company to which the reinsurance certificate should be or is being issued.
    </t>
  </si>
  <si>
    <t>Certified Technical Personnel</t>
  </si>
  <si>
    <t xml:space="preserve">
Personnel having a technical certification that are employed by the company. For example: certified mechanic, CPCU, CPA, FLMI.
    </t>
  </si>
  <si>
    <t>Certifying Organization</t>
  </si>
  <si>
    <t xml:space="preserve">
Organization you have received certification with in the context of an examination.
    </t>
  </si>
  <si>
    <t>Cession</t>
  </si>
  <si>
    <t xml:space="preserve">
1: The unit of insurance passed (or ceded) to a pro-rata reinsurer by a primary company or cedent which issued a policy to the original insured. A cession may accordingly be the whole or a portion of single risks, defined policies, or defined divisions of business, all as agreed in the reinsurance contract. 2: The act of ceding where such act is necessary to invoke the pro rata reinsurance protection.
    </t>
  </si>
  <si>
    <t>CFC</t>
  </si>
  <si>
    <t xml:space="preserve">
Chlorofluorocarbon (CFC)
    </t>
  </si>
  <si>
    <t>CFP</t>
  </si>
  <si>
    <t xml:space="preserve">
Certified Financial Planner (CFP)
    </t>
  </si>
  <si>
    <t>CGL</t>
  </si>
  <si>
    <t xml:space="preserve">
Comprehensive General Liability (CGL)
    </t>
  </si>
  <si>
    <t>Channel Role</t>
  </si>
  <si>
    <t xml:space="preserve">
A person or an organization that has an agreement with the financial services company to sell or service the latter's products and, as such, to act on behalf of the financial services company (e.g. salaried network, broker, financial adviser, bank).
    </t>
  </si>
  <si>
    <t>Character Reputation</t>
  </si>
  <si>
    <t xml:space="preserve">
This represents the state of the assessed subject's reputation (e.g. the position one occupies or the standing that one has in the opinion of others, in respect to attainments, integrity, and the like: a fine reputation; a reputation for honesty.  Character is the combination of moral and other traits which make one the kind of person one actually is (as contrasted with what others think of one): Honesty is an outstanding trait of his character.
    </t>
  </si>
  <si>
    <t>Chargeback</t>
  </si>
  <si>
    <t xml:space="preserve">
The percentage of the original commission that is recouped.
    </t>
  </si>
  <si>
    <t>Cheque</t>
  </si>
  <si>
    <t xml:space="preserve">
A cheque (or check in American English) is a document that orders a payment of money from a bank account. The person writing the cheque, the drawer, usually has a current account (most English speaking countries) or checking account (US) where their money was previously deposited. The drawer writes the various details including the monetary amount, date, and a payee on the cheque, and signs it, ordering their bank, known as the drawee, to pay that person or company the amount of money stated.
    </t>
  </si>
  <si>
    <t>Cheque  Authorizing Account Agreement</t>
  </si>
  <si>
    <t xml:space="preserve">
This represents the account agreement that authorizes a cheque.
    </t>
  </si>
  <si>
    <t>Cheque  Date</t>
  </si>
  <si>
    <t xml:space="preserve">
This is the date on the check - typically the date the check was written.
    </t>
  </si>
  <si>
    <t>Cheque Method</t>
  </si>
  <si>
    <t xml:space="preserve">
This represents a payment method involving a cheque (also known as "check").
    </t>
  </si>
  <si>
    <t>Cheque Method  Authorizing Account Agreement</t>
  </si>
  <si>
    <t xml:space="preserve">
This represents the account agreement that authorizes a cheque/check.
    </t>
  </si>
  <si>
    <t>Cheque Method  Type Code</t>
  </si>
  <si>
    <t xml:space="preserve">
This represents the type of cheque.
    </t>
  </si>
  <si>
    <t>Cheque Method  Utilized Cheque</t>
  </si>
  <si>
    <t xml:space="preserve">
This represents the cheque being utilized for the method of payment.
    </t>
  </si>
  <si>
    <t>ChFC</t>
  </si>
  <si>
    <t xml:space="preserve">
Chartered Financial Consultant (ChFC)
    </t>
  </si>
  <si>
    <t>Child</t>
  </si>
  <si>
    <t xml:space="preserve">
This concept represents a child.
    </t>
  </si>
  <si>
    <t>Child Organization</t>
  </si>
  <si>
    <t xml:space="preserve">
This concept represents an organization's role as a child in relation to another organization's related role of parent (e.g. child organization or subsidiary and its parent organization, the child organization unit/department and its parent organization).
e.g. Chevrolet is a child/subsidiary of General Motors Company.
e.g. The accounting department is an organization unit within General Motors Company.
    </t>
  </si>
  <si>
    <t>Child Organization  Organization Relationship</t>
  </si>
  <si>
    <t xml:space="preserve">
This represents the organization relationship in which the child organization participates.
    </t>
  </si>
  <si>
    <t>CIAB</t>
  </si>
  <si>
    <t xml:space="preserve">
The Council of Insurance Agents &amp; Brokers (CIAB)
    </t>
  </si>
  <si>
    <t>CIC</t>
  </si>
  <si>
    <t xml:space="preserve">
Certified Insurance Counselor (CIC)
    </t>
  </si>
  <si>
    <t>CIECA</t>
  </si>
  <si>
    <t xml:space="preserve">
Collision Industry Electronic Commerce Association (CIECA)
    </t>
  </si>
  <si>
    <t>CIRMA</t>
  </si>
  <si>
    <t xml:space="preserve">
Connecticut Interlocal Risk Management Agency (CIRMA)
    </t>
  </si>
  <si>
    <t>CISR</t>
  </si>
  <si>
    <t xml:space="preserve">
Certified Insurance Service Representative (CISR)
    </t>
  </si>
  <si>
    <t>Citizenship</t>
  </si>
  <si>
    <t xml:space="preserve">
Citizenship denotes the link between a person and a state or an association of states.
    </t>
  </si>
  <si>
    <t>Citizenship  Place</t>
  </si>
  <si>
    <t xml:space="preserve">
This represents a place of citizenship (e.g. country, state, province, etc.).
    </t>
  </si>
  <si>
    <t>Civil Registration</t>
  </si>
  <si>
    <t xml:space="preserve">
This concept defines the characteristics of a civil registration that associates two persons (e.g. marriage, common-law marriage, civil union, etc.).
    </t>
  </si>
  <si>
    <t>Civil Registration  Registrant</t>
  </si>
  <si>
    <t xml:space="preserve">
This represents the registrant (registered person) of a civil registration.
    </t>
  </si>
  <si>
    <t>Civil Relationship</t>
  </si>
  <si>
    <t xml:space="preserve">
This represents a relationship between spouses.  The spouses may or may not reside in the same household.
    </t>
  </si>
  <si>
    <t>Civil Relationship  Name</t>
  </si>
  <si>
    <t xml:space="preserve">
The name of the civil relationship.
e.g. Mr. and Mrs. John and Jane Doe
NOTE: In addition to serving as the name of the civil relationship, this may also have relevance beyond the relationship. For example, a personal auto insurance policy may be issued in the names of a husband and wife and they explicitly request the policy declarations page display the named insured as  "Mr. and Mrs. John and Jane Doe" (declarations name). The declarations name is not specific to either person, or any lone party, and is technically not a party name - it is a name utilized for print or a similar function.
    </t>
  </si>
  <si>
    <t>Civil Relationship  Spouse</t>
  </si>
  <si>
    <t xml:space="preserve">
This represents a spouse in a civil relationship.
    </t>
  </si>
  <si>
    <t>Civil Relationship  Type Code</t>
  </si>
  <si>
    <t xml:space="preserve">
Civil status of the person.
    </t>
  </si>
  <si>
    <t xml:space="preserve">
Creatine Kinase (CK)
    </t>
  </si>
  <si>
    <t xml:space="preserve">
A claim is a demand by a party to obtain money or enforcement of a right or benefit.
A claim can be related to an agreement, a loss event, and/or an assessment.
If a loss event occurs, a claim may be created. One event may generate several claims, if several contracts are impacted.
If an assessment occurs, a claim may be created. For example, a person may have a medical assessment (e.g. dental examination) that leads to a claim.
Claims can be associated with other claims, each of them being related to an agreement and possibly many claim coverages.
    </t>
  </si>
  <si>
    <t>Claim  Claimed Financial Services Agreement</t>
  </si>
  <si>
    <t xml:space="preserve">
This represents the financial services agreement upon which a claim has occurred.
    </t>
  </si>
  <si>
    <t>Claim  Coverage Percentage</t>
  </si>
  <si>
    <t xml:space="preserve">
Indicates whether or not, and to which extent, the insurance policies of the claimant cover the loss incurred in the claim. The information about the claim and its circumstances will be validated against the insurance policy and product specification information to verify whether the claim is covered or not and to which extent: not covered (0%), fully covered (100%) or partially covered (any other%). e.g: Value of the house at time of providing coverage was set at $200,000 USD. At time of loss, the value appears to be $250,000 USD. The coverage percentage is set to 80%. e.g: 60% (where the house is only covered for 60% of its value).
    </t>
  </si>
  <si>
    <t>Claim  Decision Reason Description</t>
  </si>
  <si>
    <t xml:space="preserve">
This is the reason describing the claim decision when assessing this claim.
e.g: A decision may be taken to grant coverage to a loyal customer, even if the coverage did not exist.
    </t>
  </si>
  <si>
    <t>Claim  Included Claim Component</t>
  </si>
  <si>
    <t xml:space="preserve">
This represents a claim component (e.g. claim coverage, claim deductible, etc.) comprising a claim.
    </t>
  </si>
  <si>
    <t>Claim  Initiating Loss Occurrence</t>
  </si>
  <si>
    <t xml:space="preserve">
This represents the loss occurrence that initiated a claim.
    </t>
  </si>
  <si>
    <t>Claim  Related Claim</t>
  </si>
  <si>
    <t xml:space="preserve">
This represents a claim related to another claim.
    </t>
  </si>
  <si>
    <t>Claim  Utilized Assessment Activity</t>
  </si>
  <si>
    <t xml:space="preserve">
This represents an assessment activity being utilized by a claim (e.g. the claim utilizes an inspection).
    </t>
  </si>
  <si>
    <t>Claim  Utilized Claim Document</t>
  </si>
  <si>
    <t xml:space="preserve">
This represents a claim document utilized by a claim.
    </t>
  </si>
  <si>
    <t>Claim Account Manager</t>
  </si>
  <si>
    <t xml:space="preserve">
Position in the insurer's organization responsible for settling insurance claims within a defined business area. Claim adjusters report to the claims account manager.
    </t>
  </si>
  <si>
    <t>Claim Adjuster</t>
  </si>
  <si>
    <t xml:space="preserve">
A party who handles a claim for an insurance company or syndicate. An adjuster's actions include: collating details, validating cover, resolving disputes and agreeing where appropriate to settle claims at a fair price. The adjuster has got authority limits set either by contracts, by seniority or by class of business. 
There are three types of claim adjuster: 
- Employee of the insurance company. 
- External parties authorized by the insurer to adjust claims on its behalf. 
- Third parties adjusting claims on behalf of the claimant. 
e.g: Douglas Greene, as adjuster in a reimbursement claim fire damage.
    </t>
  </si>
  <si>
    <t>Claim Adjustment Contractor</t>
  </si>
  <si>
    <t xml:space="preserve">
This is an external person or organization contracted and authorized by the organization to adjust claims on its behalf. See also Claim Adjuster; however, a Claim Adjustment Contractor is an external party or organization.
    </t>
  </si>
  <si>
    <t>Claim Administrator</t>
  </si>
  <si>
    <t xml:space="preserve">
A person or an organization, designated by the insurance company, to manage the administration and handling of a claim.
    </t>
  </si>
  <si>
    <t>Claim Advice</t>
  </si>
  <si>
    <t xml:space="preserve">
The information that makes up the details of a claim to a (Re)Insurer. It may or may not contain financial information in respect to the (Re)Insurer's outstanding reserve and/or paid amount totals.
    </t>
  </si>
  <si>
    <t>Claim Agent</t>
  </si>
  <si>
    <t xml:space="preserve">
One who has been authorized by the insurance company to pay a loss(es) incurred by the insured.
    </t>
  </si>
  <si>
    <t>Claim Amount - Gross</t>
  </si>
  <si>
    <t xml:space="preserve">
Gross claim amount equals the Current amount paid plus the Outstanding amount.
    </t>
  </si>
  <si>
    <t>Claim Amount - Net</t>
  </si>
  <si>
    <t xml:space="preserve">
Net claim amount equals the Gross claim amount minus the Total recovery amount.
    </t>
  </si>
  <si>
    <t>Claim Base</t>
  </si>
  <si>
    <t xml:space="preserve">
This abstract super-type contains common attributes shared by all high-level concepts within the claim package.
    </t>
  </si>
  <si>
    <t>Claim Base  Benefit Claim Reserve</t>
  </si>
  <si>
    <t xml:space="preserve">
This represents a claim reserve involving a benefit.
    </t>
  </si>
  <si>
    <t>Claim Base  Effective Period</t>
  </si>
  <si>
    <t xml:space="preserve">
This represents the effective period of the claim, claim offer, etc. (e.g. the time during which the claim is officially open; the time during which the claim offer is valid, etc.).
    </t>
  </si>
  <si>
    <t>Claim Base  Identifier</t>
  </si>
  <si>
    <t xml:space="preserve">
The unique identifier assigned to claim, claim offer, claim grouping, etc. When part of a claim, this is commonly known as the "claim number" and may include prefixes which identify a claims office, or suffixes that break occurrences down into separate claims, layers, or sub files.
    </t>
  </si>
  <si>
    <t>Claim Base  Involved Financial Provision</t>
  </si>
  <si>
    <t xml:space="preserve">
This represents a financial provision involved in a clam.
    </t>
  </si>
  <si>
    <t>Claim Base  Recovery Claim Reserve</t>
  </si>
  <si>
    <t xml:space="preserve">
This represents a claim reserve involving a recovery.
    </t>
  </si>
  <si>
    <t>Claim Base  Replaced Claim Base</t>
  </si>
  <si>
    <t xml:space="preserve">
This represents the claim base (e.g. claim, claim offer, etc.) being replaced by another claim base.
e.g. one claim is replacing another - this is the replaced claim.
    </t>
  </si>
  <si>
    <t>Claim Base  Utilized Claim Note</t>
  </si>
  <si>
    <t xml:space="preserve">
This represents the claim note utilized by a claim base (e.g. a claim, claim offer, etc.).
    </t>
  </si>
  <si>
    <t>Claim Base  Utilized Financial Scheduler</t>
  </si>
  <si>
    <t xml:space="preserve">
This represents a financial scheduler being utilized by a claim base (e.g. claim, claim offer, etc.).
    </t>
  </si>
  <si>
    <t>Claim Base  Utilized Physical Object</t>
  </si>
  <si>
    <t xml:space="preserve">
This represents a physical object being utilized within the context of a claim.
    </t>
  </si>
  <si>
    <t>Claim Benefit</t>
  </si>
  <si>
    <t xml:space="preserve">
Identifies a monetary amount, or a series of monetary amounts, that are offered as the benefit offered as indemnification for a claim.
    </t>
  </si>
  <si>
    <t>Claim Broker</t>
  </si>
  <si>
    <t xml:space="preserve">
The intermediary who presents a claim on behalf of the claimant and who acts on behalf of the claimant in the settlement of a claim.
    </t>
  </si>
  <si>
    <t>Claim Case Reserve</t>
  </si>
  <si>
    <t xml:space="preserve">
The reserve for a specific claim.
    </t>
  </si>
  <si>
    <t>Claim Closing Date</t>
  </si>
  <si>
    <t xml:space="preserve">
Date on which the claim was designated as settled by the insurance company.
    </t>
  </si>
  <si>
    <t>Claim Component</t>
  </si>
  <si>
    <t xml:space="preserve">
This concept represents a portion of a claim as related to the claim's composition structure.
    </t>
  </si>
  <si>
    <t>Claim Component  Comprising Claim Component</t>
  </si>
  <si>
    <t xml:space="preserve">
This represents a claim component comprising another claim component.
For example, a claim coverage may be comprised of a claim limit and a claim deductible. The claim limit and the claim deductible are each "comprising" the claim coverage.
    </t>
  </si>
  <si>
    <t>Claim Contract Annual Aggregate Deductible - 100 Percent</t>
  </si>
  <si>
    <t xml:space="preserve">
The annual retention of the cedent for claims which would otherwise be recoverable under the contract. An additional retention to the each loss retention. This may vary depending on a percentage of premiums/losses so this amount may have an as of date.
    </t>
  </si>
  <si>
    <t>Claim Contract Limit - 100 Percent</t>
  </si>
  <si>
    <t xml:space="preserve">
The limit of liability under the reinsurance contract applicable to this claim (note: may vary from the limit stated in the contract following adjustment due to the effect of clauses such as Interlocking clause, etc).
    </t>
  </si>
  <si>
    <t>Claim Contract Limit Expense Status - 100 Percent</t>
  </si>
  <si>
    <t xml:space="preserve">
The status of the contract limit expense payments in the contract. This may include information from Additional Amount Information (i.e. expenses pro rated, expenses included, expenses excluded).
    </t>
  </si>
  <si>
    <t>Claim Contract Limit Per Occurrence - 100 Percent</t>
  </si>
  <si>
    <t xml:space="preserve">
Limit of liability per occurrence on the reinsurance contract
    </t>
  </si>
  <si>
    <t>Claim Contract Limit Per Occurrence Expense Status</t>
  </si>
  <si>
    <t xml:space="preserve">
The status of the contract limit per occurrence expense payments in the contract. This may include information from Additional Amount Information (i.e. expenses pro rated, expenses included, expenses excluded).
    </t>
  </si>
  <si>
    <t>Claim Contract Retention</t>
  </si>
  <si>
    <t xml:space="preserve">
Indicates the status of claim contract retention expense. This may include information from Additional Amount Information (i.e. expenses pro rated, expenses included, expenses excluded).
    </t>
  </si>
  <si>
    <t>Claim Cost</t>
  </si>
  <si>
    <t xml:space="preserve">
See Claim Amount.
    </t>
  </si>
  <si>
    <t>Claim Coverage</t>
  </si>
  <si>
    <t xml:space="preserve">
A claim coverage corresponds to a coverage involved in a claim as well as the assessment of coverage and the status of the claim coverage.
e.g. When a claim occurs, the general sequence involves:
(1) associating the claim to the related agreement/insurance policy
(2) determining whether the agreement includes coverage that corresponds to the damage
(3) determining whether the damage is covered by the applicable coverage in a manner that will result in benefits being paid by the insurer (e.g. the damage may be covered, but falls below the applicable deductible amount)
(4) managing the applicable coverage as a "claim coverage" to which amounts can be managed involving limits and/or deductibles, as well as amounts paid or reserved and to which a status may be applied.
    </t>
  </si>
  <si>
    <t>Claim Coverage  Coinsurance Applicable Indicator</t>
  </si>
  <si>
    <t xml:space="preserve">
Flag which indicates if coinsurance is applicable for the damage.
    </t>
  </si>
  <si>
    <t>Claim Coverage  Decision Reason Description</t>
  </si>
  <si>
    <t xml:space="preserve">
This is the reason describing the claim coverage decision.
    </t>
  </si>
  <si>
    <t>Claim Coverage  Decision Type Code</t>
  </si>
  <si>
    <t xml:space="preserve">
Indicates the coverage decision involving coverage for a specific claim coverage (e.g. covered, denied). This has an over-arching significance with regards to coverage, not the status of the claim coverage.
    </t>
  </si>
  <si>
    <t>Claim Coverage  Reinsurance Applicable Indicator</t>
  </si>
  <si>
    <t xml:space="preserve">
Flag which indicates if reinsurance is applicable for damage
    </t>
  </si>
  <si>
    <t>Claim Coverage Status</t>
  </si>
  <si>
    <t xml:space="preserve">
This represents the status of a claim coverage.
    </t>
  </si>
  <si>
    <t>Claim Coverage Status  Code</t>
  </si>
  <si>
    <t xml:space="preserve">
Gives the status of a ClaimCoverage.
    </t>
  </si>
  <si>
    <t>Claim Covered Amount</t>
  </si>
  <si>
    <t xml:space="preserve">
Agreed amount that will be paid to the beneficiary or claimant. In some situations, the claim can be equivalent to the Outstanding Reserve Amount.
    </t>
  </si>
  <si>
    <t>Claim Declarer</t>
  </si>
  <si>
    <t xml:space="preserve">
The party who declares a claim in the context of a claim declaration or disclosure. It may be accomplished via telephone, text, in-person, mail, etc. It might be the insured (most common case), an insured relative or someone else.
Like an applicant for insurance who declares the historical claims in which he is the claimee. Or an insurance company that declares a claim to a reinsurer in the context of reinsurance.
e.g: Acme Garage declaring its oil-leakage claim from 1999 when applying for a new commercial liability insurance.
e.g: John Doe applying for car insurance, declaring his car claim for his past accident with his Buick in 2012.
    </t>
  </si>
  <si>
    <t>Claim Declarer  Insured Relationship Code</t>
  </si>
  <si>
    <t xml:space="preserve">
The declaring party relationship with the insured
    </t>
  </si>
  <si>
    <t>Claim Deductible</t>
  </si>
  <si>
    <t xml:space="preserve">
This object handles all information related to the coverage deductible from the perspective of the claim with a relationship to the corresponding coverage deductible on the agreement.
    </t>
  </si>
  <si>
    <t>Claim Deductible  Applies To Code</t>
  </si>
  <si>
    <t xml:space="preserve">
A code identifying to what the deductible applies.
    </t>
  </si>
  <si>
    <t>Claim Deductible  Maximum To Apply Amount</t>
  </si>
  <si>
    <t xml:space="preserve">
This is the claim deductible maximum amount to be applied following a decision and/or the contractual information.
    </t>
  </si>
  <si>
    <t>Claim Deductible  Minimum To Apply Amount</t>
  </si>
  <si>
    <t xml:space="preserve">
This is the claim deductible minimum amount to be applied following a decision and/or the contractual information.
    </t>
  </si>
  <si>
    <t>Claim Deductible  Remaining Amount</t>
  </si>
  <si>
    <t xml:space="preserve">
This is the remaining deductible amount (if any) after the deductible has been applied.
    </t>
  </si>
  <si>
    <t>Claim Deductible  To Apply Amount</t>
  </si>
  <si>
    <t xml:space="preserve">
This is the claim deductible amount to be applied following a decision and/or the contractual information.
    </t>
  </si>
  <si>
    <t>Claim Deductible  To Apply Percentage</t>
  </si>
  <si>
    <t xml:space="preserve">
This is the claim deductible percentage to be applied following a decision and/or the contractual information.
    </t>
  </si>
  <si>
    <t>Claim Deductible  Type Code</t>
  </si>
  <si>
    <t xml:space="preserve">
A code identifying the type of deductible.
    </t>
  </si>
  <si>
    <t>Claim Document</t>
  </si>
  <si>
    <t xml:space="preserve">
Claim document is a super-type for all documents related to claims 
e.g: Accident report, written witness statement, first notice of loss
    </t>
  </si>
  <si>
    <t>Claim Document  Involved Loss Occurrence</t>
  </si>
  <si>
    <t xml:space="preserve">
This represents the loss occurrence involved in a claim document.
    </t>
  </si>
  <si>
    <t>Claim Entry Reference</t>
  </si>
  <si>
    <t xml:space="preserve">
Unique common reference assigned by the sender of multiple Claim Advices in respect of a claim. Identified as a Transaction Reference in London Market Processing. For Example, single reference to "bundle together" all advices sent to multiple (Re)Insurers involved in a contract in respect of multi-currency claim.
    </t>
  </si>
  <si>
    <t>Claim Estimate</t>
  </si>
  <si>
    <t xml:space="preserve">
Estimate Details for a claim. These include financial estimates and duration (e.g. lost working time, time until recovery, percent of full recovery). See also Claim Original Estimate.
    </t>
  </si>
  <si>
    <t>Claim Expense</t>
  </si>
  <si>
    <t xml:space="preserve">
The expense of adjusting a claim such as investigation and attorney fees. It does not include the cost of the claim itself.
    </t>
  </si>
  <si>
    <t>Claim Expert</t>
  </si>
  <si>
    <t xml:space="preserve">
A party used by an insurance company to assess the condition and value of damaged physical objects, based on their expert knowledge and experience. 
e.g: John Smith, as an expert to evaluate the damage of a car.
    </t>
  </si>
  <si>
    <t>Claim File</t>
  </si>
  <si>
    <t xml:space="preserve">
Any document or collection of documents related to a claim.
    </t>
  </si>
  <si>
    <t>Claim File Document Holder</t>
  </si>
  <si>
    <t xml:space="preserve">
The person or organization who is in possession of a claim file at a given point in time.
    </t>
  </si>
  <si>
    <t>Claim Follower</t>
  </si>
  <si>
    <t xml:space="preserve">
This role represents an insurer or reinsurer who recognizes that another insurer or reinsurer involved in the contract has assumed a leading role in the management of claims advised under the contract.  Refer also to "Claim Leader" for a definition of that role.
    </t>
  </si>
  <si>
    <t>Claim Franchise Component</t>
  </si>
  <si>
    <t xml:space="preserve">
This object handles all information related to the coverage franchise from the perspective of the claim with a relationship to the corresponding coverage franchise on the agreement.
    </t>
  </si>
  <si>
    <t>Claim Fraud</t>
  </si>
  <si>
    <t xml:space="preserve">
The deception or artifice used to cheat or intentionally mislead during the claims process.
    </t>
  </si>
  <si>
    <t>Claim Group Category</t>
  </si>
  <si>
    <t xml:space="preserve">
This concept allows to define groups of claims.
The purpose is often to have a global vision of linked claims (and follow a total cost for the group).
    </t>
  </si>
  <si>
    <t>Claim Group Category  Claim Group Cost Amount</t>
  </si>
  <si>
    <t xml:space="preserve">
This gives the total cost for the claim group.
it is calculated from all associated claims.
    </t>
  </si>
  <si>
    <t>Claim Grouping</t>
  </si>
  <si>
    <t xml:space="preserve">
A logical grouping of claim components. A claim grouping can be decomposed directly in elementary claims or in further claim folders. 
e.g: The claim folder gathering all the claims resulting from an earthquake in Greece on July 25th 2001.
e.g. The grouping of claims associated with the death of a life insured. If the insured had more than one policy, each policy would have its own claim to be processed but the insurance company may want to group them together for handling.
    </t>
  </si>
  <si>
    <t>Claim Grouping  Included Claim</t>
  </si>
  <si>
    <t xml:space="preserve">
This represents a claim included in a claim grouping.
    </t>
  </si>
  <si>
    <t>Claim Grouping  Incurred But Not Reported Indicator</t>
  </si>
  <si>
    <t xml:space="preserve">
Indicates that the claim grouping is a provision for a loss that has incurred but no specific claims have been reported to the insurance company.
    </t>
  </si>
  <si>
    <t>Claim Grouping  Name</t>
  </si>
  <si>
    <t xml:space="preserve">
The name given to the claim grouping (e.g. Hurricane Katrina Claims).
    </t>
  </si>
  <si>
    <t>Claim Grouping  Originating Loss Event</t>
  </si>
  <si>
    <t xml:space="preserve">
This represents the loss event from which the claim grouping originates.
    </t>
  </si>
  <si>
    <t>Claim Grouping  Overlapping Coverage Indicator</t>
  </si>
  <si>
    <t xml:space="preserve">
Indicates that the claimed losses are covered by more than one insurance policy.
If this indicator is set to true, there should be a related claim associated with this claim.
    </t>
  </si>
  <si>
    <t>Claim Handler</t>
  </si>
  <si>
    <t xml:space="preserve">
See Claims Administrator.
    </t>
  </si>
  <si>
    <t>Claim Handling Center</t>
  </si>
  <si>
    <t xml:space="preserve">
Department that manages claims.
    </t>
  </si>
  <si>
    <t>Claim Handling Team</t>
  </si>
  <si>
    <t xml:space="preserve">
Team that manages claims.
    </t>
  </si>
  <si>
    <t>Claim History Declaration</t>
  </si>
  <si>
    <t xml:space="preserve">
The declaration made by a party applying for insurance about the claims he/she made in the past.
    </t>
  </si>
  <si>
    <t>Claim Leader</t>
  </si>
  <si>
    <t xml:space="preserve">
This role represents an insurer or reinsurer who is recognized by other insurers or reinsurers involved in the contract as taking a leading role in the management of claims advised under the contract. Depending on agreements within the contract concerned, this leading role could include taking responsibility to manage claims on behalf of all or some of the other "following" insurers or reinsurers involved in the contract.
    </t>
  </si>
  <si>
    <t>Claim Legal Expert</t>
  </si>
  <si>
    <t xml:space="preserve">
A party that provides legal advice on matters concerning the claim.
    </t>
  </si>
  <si>
    <t>Claim Limit Component</t>
  </si>
  <si>
    <t xml:space="preserve">
This object handles all information related to the coverage limit from the perspective of the claim with a relationship to the corresponding coverage limit on the agreement.
    </t>
  </si>
  <si>
    <t>Claim Limit Component  Amount</t>
  </si>
  <si>
    <t xml:space="preserve">
This is the limit amount to be applied for the claim
    </t>
  </si>
  <si>
    <t>Claim Limit Component  Applies To Code</t>
  </si>
  <si>
    <t xml:space="preserve">
A code identifying the concept to which the limit applies.
e.g. Per Accident, Per Vehicle
    </t>
  </si>
  <si>
    <t>Claim Limit Component  Number</t>
  </si>
  <si>
    <t xml:space="preserve">
This is the limit number to be applied for the claim
    </t>
  </si>
  <si>
    <t>Claim Modification Benefit</t>
  </si>
  <si>
    <t xml:space="preserve">
This object handles all information related to the benefit modification from the perspective of the claim with a relationship to the corresponding benefit modification on the agreement.
    </t>
  </si>
  <si>
    <t>Claim Note</t>
  </si>
  <si>
    <t xml:space="preserve">
This concept represents a note attached to a claim base (e.g. claim, claim offer, etc.).
    </t>
  </si>
  <si>
    <t>Claim Note  Confidential Indicator</t>
  </si>
  <si>
    <t xml:space="preserve">
An indicator the claim note is confidential in nature.
    </t>
  </si>
  <si>
    <t>Claim Note  Description</t>
  </si>
  <si>
    <t xml:space="preserve">
A text description of the claim note.
    </t>
  </si>
  <si>
    <t>Claim Note  Referenced Claim Note</t>
  </si>
  <si>
    <t xml:space="preserve">
This represents a claim note being referenced by another claim note.
    </t>
  </si>
  <si>
    <t>Claim Note  Validity Code</t>
  </si>
  <si>
    <t xml:space="preserve">
Indicates the validity of the claim note.
    </t>
  </si>
  <si>
    <t>Claim Offer</t>
  </si>
  <si>
    <t xml:space="preserve">
An offer made by a financial services company to a claimant or third party in the context of a claim. Sometimes, alternative offers are made so that the claimant has different options to settle the claim. Each of these options is represented by a different claim offer. A claim offer could also be the set of benefits requested by the claimant in the context of this claim. 
e.g: The claim offer for Ramona Celeste's automobile accident is a compensation of EUR 1,000 for the damage to the car. 
e.g: The claim offer from Acme Re reinsurance company to Mia Insurance Company resulting from Ramona Celeste's original claim.
    </t>
  </si>
  <si>
    <t>Claim Offer  Addressed Condition</t>
  </si>
  <si>
    <t xml:space="preserve">
This represents the condition being addressed by a claim offer.
    </t>
  </si>
  <si>
    <t>Claim Offer  Benefit Definition Creation Date Time</t>
  </si>
  <si>
    <t xml:space="preserve">
The creation date (and time) of the benefit detail.
    </t>
  </si>
  <si>
    <t>Claim Offer  Comprised Claim Offer</t>
  </si>
  <si>
    <t xml:space="preserve">
This represents a claim offer comprised of one or more other claim offers.
    </t>
  </si>
  <si>
    <t>Claim Offer  Offer Limit Date Time</t>
  </si>
  <si>
    <t xml:space="preserve">
The latest date (and time) at which an insurance company needs to make an offer (financial offer) to a victim in case of bodily injury.
    </t>
  </si>
  <si>
    <t>Claim Offer  Offer Type</t>
  </si>
  <si>
    <t xml:space="preserve">
First, final, first and final, subsequent, other
    </t>
  </si>
  <si>
    <t>Claim Offer  Originating Claim Offer</t>
  </si>
  <si>
    <t xml:space="preserve">
This represents a claim offer upon which other claim offers may be presented as alternatives. This is the "originating" claim offer in comparison to the alternative claim offer(s).
    </t>
  </si>
  <si>
    <t>Claim Offer  Recovered Claim Offer</t>
  </si>
  <si>
    <t xml:space="preserve">
This represents a claim offer recovered by another claim offer.
    </t>
  </si>
  <si>
    <t>Claim Offer  Settlement Method Code</t>
  </si>
  <si>
    <t xml:space="preserve">
Identifies the method to use for settling the benefit offered in the claim offer. 
e.g: Cash payment 
e.g: Repair of damage 
e.g: Replacement of damaged car
    </t>
  </si>
  <si>
    <t>Claim Offer  Supported Claim</t>
  </si>
  <si>
    <t xml:space="preserve">
This represents the claim supported by a claim offer.
    </t>
  </si>
  <si>
    <t>Claim Offer  Utilized Claim Component</t>
  </si>
  <si>
    <t xml:space="preserve">
This represents a claim component utilized by a claim offer.
    </t>
  </si>
  <si>
    <t>Claim Offer  Validity Period</t>
  </si>
  <si>
    <t xml:space="preserve">
This represents the validity period of the claim offer (represented with a start date and an end date).
The date (aka Start Date) from which this claim offer is valid, and from which the party may accept or reject the offer.
The date (aka End Date) from which this claim offer no longer is valid, and from which the party to whom the offer is made may no longer accept the offer.
    </t>
  </si>
  <si>
    <t>Claim Offer Status</t>
  </si>
  <si>
    <t xml:space="preserve">
This represents the status of a claim offer.
    </t>
  </si>
  <si>
    <t>Claim Offer Status  Code</t>
  </si>
  <si>
    <t xml:space="preserve">
The current status of the claim offer within the life-cycle model.
e.g: Accepted 
e.g: Draft 
e.g: Granted 
e.g: Nullified 
e.g: Obsolete 
e.g: Offered 
e.g: Rejected 
e.g: Requested 
e.g: Settled
    </t>
  </si>
  <si>
    <t>Claim Offer Status  Reason Code</t>
  </si>
  <si>
    <t xml:space="preserve">
The reason explaining why there was a status change. 
e.g: Billing information not accepted (for status: rejected following requested) 
e.g: Disputed valuation (for status: rejected) 
e.g: Recommended repair shop was closed. (for status obsolete where an alternative claim offer gets requested)
e.g: Recommended repair shop was closed. (for status obsolete where an alternative claim offer gets requested)
e.g: Recommended repair shop was closed.
    </t>
  </si>
  <si>
    <t>Claim Original Contract</t>
  </si>
  <si>
    <t xml:space="preserve">
Information relating to a claim that is subject to a reinsurance recovery. For example, a reinsured pays out losses under a contract insuring the contractholder and is able to make a recovery under any type of reinsurance contract.
    </t>
  </si>
  <si>
    <t>Claim Outstanding Amount</t>
  </si>
  <si>
    <t xml:space="preserve">
Amount which the insurance company still expects to pay out in respect of the claim or claim item.
    </t>
  </si>
  <si>
    <t>Claim Outstanding Reinsurance Recovery Amount</t>
  </si>
  <si>
    <t xml:space="preserve">
Amount which the insurance company still expects to obtain in respect of the claim or claim item under any type of reinsurance.
    </t>
  </si>
  <si>
    <t>Claim Payer</t>
  </si>
  <si>
    <t xml:space="preserve">
A party responsible for paying claims.
    </t>
  </si>
  <si>
    <t>Claim Recorder</t>
  </si>
  <si>
    <t xml:space="preserve">
The party to whom a loss/claim is reported.
    </t>
  </si>
  <si>
    <t>Claim Representative</t>
  </si>
  <si>
    <t xml:space="preserve">
A third party who represents the claimant or a third party associated with the claim. The claim representative can be a sales agent, a broker, a lawyer or anyone else that has some form of agreement with the claimant or the third party. 
e.g: Inter-Co Co. as claimant representative in a reimbursement claim for fire damage
    </t>
  </si>
  <si>
    <t>Claim Reserve</t>
  </si>
  <si>
    <t xml:space="preserve">
This concept represents sums placed by the insurer in reserve to meet future commitments to the insured. This includes claims reserves: an estimated amount of money that is reserved in a fund and used to pay benefits for unsettled claims or known future claims. Claims reserves are an indication of the insurer's known liabilities and appear on the insurer's balance sheet as liabilities. Reserves can be modified through a claim's life cycle and are typically kept for history.
    </t>
  </si>
  <si>
    <t>Claim Reserve  Follow Up Type</t>
  </si>
  <si>
    <t xml:space="preserve">
States the type of the concept concerned by the followUp
Examples are: Claim, Damage ...
    </t>
  </si>
  <si>
    <t>Claim Reserve  Modification Date Time</t>
  </si>
  <si>
    <t xml:space="preserve">
The date (and time) of the modification on the reserve.
    </t>
  </si>
  <si>
    <t>Claim Reserve  Outstanding Reserve Amount</t>
  </si>
  <si>
    <t xml:space="preserve">
Remaining amount of reserve following payments, increase and decrease of reserve.
    </t>
  </si>
  <si>
    <t>Claim Reserve  Reserve Initial Amount</t>
  </si>
  <si>
    <t xml:space="preserve">
It indicates the initial reserve amount
    </t>
  </si>
  <si>
    <t>Claim Responsible Party</t>
  </si>
  <si>
    <t xml:space="preserve">
The person or organization that is responsible for the loss or accident that gave rise to a claim.
    </t>
  </si>
  <si>
    <t>Claim Settlement</t>
  </si>
  <si>
    <t xml:space="preserve">
An agreement between a claimant or beneficiary to an insurance policy and the insurance company as to the amount and method of a claim or benefit payment.
    </t>
  </si>
  <si>
    <t>Claim Settling Agent</t>
  </si>
  <si>
    <t xml:space="preserve">
See Claim Agent.
    </t>
  </si>
  <si>
    <t>Claim Size Category</t>
  </si>
  <si>
    <t xml:space="preserve">
This concept specifies a claim size category.
    </t>
  </si>
  <si>
    <t>Claim Status</t>
  </si>
  <si>
    <t xml:space="preserve">
This represents the status of a claim.
    </t>
  </si>
  <si>
    <t>Claim Status  Code</t>
  </si>
  <si>
    <t xml:space="preserve">
Gives the status of a Claim.
    </t>
  </si>
  <si>
    <t>Claim Structural Component</t>
  </si>
  <si>
    <t xml:space="preserve">
This object handles all information related to the structural component (section, subject of insurance, etc.) from the perspective of the claim with a relationship to the corresponding structural component on the agreement.
    </t>
  </si>
  <si>
    <t>Claim Third Party</t>
  </si>
  <si>
    <t xml:space="preserve">
A person or organization, other than insured or insurer who has incurred a loss and is entitled to receive a benefit.
    </t>
  </si>
  <si>
    <t>Claim Unit</t>
  </si>
  <si>
    <t xml:space="preserve">
Part of the claims department dedicated to specific tasks for a subset of claims.
    </t>
  </si>
  <si>
    <t>Claim Waiting Period</t>
  </si>
  <si>
    <t xml:space="preserve">
This object handles all information related to the waiting period from the perspective of the claim with a relationship to the corresponding waiting period on the agreement.
    </t>
  </si>
  <si>
    <t>Claimant</t>
  </si>
  <si>
    <t xml:space="preserve">
The party seeking financial restitution under the agreement (e.g. contract).
e.g: Michael Gregory, as claimant of a reimbursement claim fire damage.
    </t>
  </si>
  <si>
    <t>Claimant  Confirmation Date Time</t>
  </si>
  <si>
    <t xml:space="preserve">
The date (and time) at which the claimant is accepted as a beneficiary of the insurance policy for which he filled a claim.
    </t>
  </si>
  <si>
    <t>Claimant  Confirmation Indicator</t>
  </si>
  <si>
    <t xml:space="preserve">
Indicates whether the claimant is accepted as a beneficiary of the insurance policy for which he filed a claim.
    </t>
  </si>
  <si>
    <t>Claimant  Responsibility Percentage</t>
  </si>
  <si>
    <t xml:space="preserve">
Indicates the responsibility percentage of the claimant party with regards to the claim. This is also known as the percentage of fault as related to responsibility concerning claim settlement.
    </t>
  </si>
  <si>
    <t>Claimed Amount</t>
  </si>
  <si>
    <t xml:space="preserve">
This is the sum of all claims paid that would apply to the associated limit for this Coverage, Rider, or Option. It is not related to a single specific claim but is a total amount representing the total of all claims.
    </t>
  </si>
  <si>
    <t>Claimee</t>
  </si>
  <si>
    <t xml:space="preserve">
The person or organization receiving an insurance claim.
e.g: Acme Insurance Company, as claimee in a reimbursement claim fire damage.
    </t>
  </si>
  <si>
    <t>Claims Department</t>
  </si>
  <si>
    <t xml:space="preserve">
Part of the organization responsible for the processing of claims.
    </t>
  </si>
  <si>
    <t>Claims Made Basis</t>
  </si>
  <si>
    <t xml:space="preserve">
A form of insurance that pays claims presented to the insurer during the term of the contract or within a specific term after its expiration.
    </t>
  </si>
  <si>
    <t>Class Of Business</t>
  </si>
  <si>
    <t xml:space="preserve">
A means of grouping risks together based on characteristics such as property risks, homeowners risks, and casualty risks. They are grouped together for reporting or accounting purposes.
    </t>
  </si>
  <si>
    <t>Class Of Claim Category</t>
  </si>
  <si>
    <t xml:space="preserve">
This concept specifies a class of claim category.
    </t>
  </si>
  <si>
    <t>Class Rate</t>
  </si>
  <si>
    <t xml:space="preserve">
A rate applied to risk with similar characteristics or to a specified class of risk.
    </t>
  </si>
  <si>
    <t>Class Rated - Property</t>
  </si>
  <si>
    <t xml:space="preserve">
A method of determining property insurance premium for properties occupied by businesses that fall into certain "classes", provided that they meet certain eligibility criteria.
    </t>
  </si>
  <si>
    <t>Clause</t>
  </si>
  <si>
    <t xml:space="preserve">
A section of an agreement, or of an endorsement attached to it, dealing with a particular subject in the agreement. For example, a clause might describe various coverages, exclusions, duties of the insured, conditions that suspend coverage, etc.
    </t>
  </si>
  <si>
    <t>Clause Specification  Additional Details Required Indicator</t>
  </si>
  <si>
    <t xml:space="preserve">
Indicates that more details are required to provide the full list of conditions around this particular clause.
    </t>
  </si>
  <si>
    <t>Clause Specification  Type Code</t>
  </si>
  <si>
    <t xml:space="preserve">
A code indicating a type of agreement clause.
    </t>
  </si>
  <si>
    <t>CLIEDIS</t>
  </si>
  <si>
    <t xml:space="preserve">
Canadian Life Insurance EDI Standards (CLIEDIS)
    </t>
  </si>
  <si>
    <t>Client Category Actual Revenue Share</t>
  </si>
  <si>
    <t xml:space="preserve">
Share of the budgeted revenue realized through contracts for the client category. This is typically used in insurance contracts covering construction firms.
    </t>
  </si>
  <si>
    <t>Client Type</t>
  </si>
  <si>
    <t xml:space="preserve">
A classification assigned to client. Examples include: lead, prospect, qualified, etc.
    </t>
  </si>
  <si>
    <t>Climbing Experience</t>
  </si>
  <si>
    <t xml:space="preserve">
This represents climbing experience as a lifestyle activity (e.g. leisure pursuit).
    </t>
  </si>
  <si>
    <t>CLM</t>
  </si>
  <si>
    <t xml:space="preserve">
Commercial Lines Manual (CLM)
    </t>
  </si>
  <si>
    <t>CLU</t>
  </si>
  <si>
    <t xml:space="preserve">
Chartered Life Underwriter (CLU)
    </t>
  </si>
  <si>
    <t>CMS</t>
  </si>
  <si>
    <t xml:space="preserve">
Compensation Management Specialist (CMS)
    </t>
  </si>
  <si>
    <t>Co-Defendant</t>
  </si>
  <si>
    <t xml:space="preserve">
Additional person or organization who is a co-defendant in a legal action relating to a claim.
    </t>
  </si>
  <si>
    <t>Co-Surety Venture Amount</t>
  </si>
  <si>
    <t xml:space="preserve">
The monetary amount of the bond or contract that another party is assuming.
    </t>
  </si>
  <si>
    <t>Coded Excess Of Loss Treaty Agreement</t>
  </si>
  <si>
    <t xml:space="preserve">
The Coded XOL is a compromise between the Risk Excess (facultative method) and the Per Risk XOL Treaty (treaty method). Whilst cover is automatic for each and every risk within a defined portfolio, each risk has to be rated separately and declared under a periodical bordereau prepared by the Reassured on the basis of a premium formula agreed in advance with the Reinsurer. The difference between this arrangement and the Line Slip is that the estimated annual excess of loss premium is computed at inception and a deposit lodged with the Reinsurer, usually subject to a minimum premium on year-end adjustment.
Coded excess is considered more accurate in measuring exposure than averaging methods.
    </t>
  </si>
  <si>
    <t>Cognitive Impairment</t>
  </si>
  <si>
    <t xml:space="preserve">
A deficiency in the ability to think, perceive, reason or remember resulting in the loss of ability to take care of one's daily living needs.
    </t>
  </si>
  <si>
    <t>Cognitive Profile</t>
  </si>
  <si>
    <t xml:space="preserve">
Communication profile that specifies the preferences to be used for adaptation of the communication to cognitive capabilities.
    </t>
  </si>
  <si>
    <t>Cognitive Profile  Dialog Level</t>
  </si>
  <si>
    <t xml:space="preserve">
The level of dialog associated with a cognitive profile.
    </t>
  </si>
  <si>
    <t>COI</t>
  </si>
  <si>
    <t xml:space="preserve">
Cost Of Insurance (COI)
    </t>
  </si>
  <si>
    <t>Coinsurer</t>
  </si>
  <si>
    <t xml:space="preserve">
A person or organization that acts as insurer in a coinsurance agreement. The person or organization may be the insured. This person or organization also shares in the losses under an insurance contract (policies).
    </t>
  </si>
  <si>
    <t>COLI</t>
  </si>
  <si>
    <t xml:space="preserve">
Corporate Owned Life Insurance (COLI)
    </t>
  </si>
  <si>
    <t>Commercial Vehicle Filing</t>
  </si>
  <si>
    <t xml:space="preserve">
The documents provided to a governing authority as required to operate inter- and/or intra- state commerce or transportation of goods within that authority's jurisdiction.
    </t>
  </si>
  <si>
    <t>Commission</t>
  </si>
  <si>
    <t xml:space="preserve">
A payment for the performance of specific duties, generally a percentage of another sum such as the selling price of the contract. e.g. A percentage of the premium paid to a producer by the insurer or to a reinsured by a reinsurer. Insurance agents and brokers are usually compensated by being allowed to retain a certain percentage of the premiums they produce.
    </t>
  </si>
  <si>
    <t>Commission Basis Amount</t>
  </si>
  <si>
    <t xml:space="preserve">
In Life and Annuities, gross amount of related transaction or assets or premiums that is the base on which the commission calculation was done.
    </t>
  </si>
  <si>
    <t>Commission Bonus</t>
  </si>
  <si>
    <t xml:space="preserve">
Financial compensation in excess of any standard compensation.
    </t>
  </si>
  <si>
    <t>Commission Calculation</t>
  </si>
  <si>
    <t xml:space="preserve">
Describes how a commission type is calculated.
    </t>
  </si>
  <si>
    <t>Commission Calculation Basis</t>
  </si>
  <si>
    <t xml:space="preserve">
The basis on which the commission is calculated, e.g. on Gross premium less premium reserve and tax.
    </t>
  </si>
  <si>
    <t>Commission Calculation Period End Date And Time</t>
  </si>
  <si>
    <t xml:space="preserve">
End date and time of period upon which the commission is based.
    </t>
  </si>
  <si>
    <t>Commission Calculation Period Start Date And Time</t>
  </si>
  <si>
    <t xml:space="preserve">
Start date and time of period upon which the commission calculation is based.
    </t>
  </si>
  <si>
    <t>Commission Collection Method</t>
  </si>
  <si>
    <t xml:space="preserve">
The way in which the producer collects commission. For example: paid by the financial services company (Direct) or retained by the producer (advanced commissions).
    </t>
  </si>
  <si>
    <t>Commission Earned Date</t>
  </si>
  <si>
    <t xml:space="preserve">
The date a commission is earned by a producer.
    </t>
  </si>
  <si>
    <t>Commission Option</t>
  </si>
  <si>
    <t xml:space="preserve">
A method which defines how a commission is managed by the insurance carrier on behalf of the producer.
    </t>
  </si>
  <si>
    <t>Commission Payment</t>
  </si>
  <si>
    <t xml:space="preserve">
Amount paid to a producer for compensation for acquiring or retaining insurance business.
    </t>
  </si>
  <si>
    <t>Commission Percentage</t>
  </si>
  <si>
    <t xml:space="preserve">
The percentage applied to a commission basis.
    </t>
  </si>
  <si>
    <t>Commission Provision Specification  Type Code</t>
  </si>
  <si>
    <t xml:space="preserve">
A code indicating the type of commission.
    </t>
  </si>
  <si>
    <t>Commission Taxable Event</t>
  </si>
  <si>
    <t xml:space="preserve">
An event or change to a commission in which a tax factor should be applied.
    </t>
  </si>
  <si>
    <t>Commissionable Event</t>
  </si>
  <si>
    <t xml:space="preserve">
An activity (event) that triggers the earning or creation of a premium.
    </t>
  </si>
  <si>
    <t>Commissionable Event Date</t>
  </si>
  <si>
    <t xml:space="preserve">
The date on which the commissionable event occurs.
    </t>
  </si>
  <si>
    <t>Commissionable Premium</t>
  </si>
  <si>
    <t xml:space="preserve">
An insurance premium amount on which a fee will be paid to a producer.
    </t>
  </si>
  <si>
    <t>Commodity</t>
  </si>
  <si>
    <t xml:space="preserve">
Any raw material that can be traded in large amounts of undifferentiated goods. 
e.g: Food and Fiber:  Cotton, Sugar, Orange Juice, Cocoa, Coffee, etc. 
e.g: Grains: Corn, Soybeans, Soybean Meal, Soybean Oil, Wheat. 
e.g: Meat: Live Cattle, Feeder Cattle, Lean Hogs, Pork Bellies, etc. 
e.g: Metals: Gold, Silver, Platinum, etc. 
e.g: Petroleum: Crude oil, Heating oil, Unleaded gasoline.
    </t>
  </si>
  <si>
    <t>Communication</t>
  </si>
  <si>
    <t xml:space="preserve">
A record of the receiving or sending (or the intention to send) of a communication between two parties. A communication may be in any medium such as a telephone call, a letter, a fax, an email, a meeting, and so on. 
It may have occurred or be planned to occur. In each case, a discrete occurrence of communication is identifiable. Correspondence which takes place over a period of time, is not a single communication but is modeled as a series of  related communications. 
e.g: ABC bank notifying ABC insurer of the payment made by John Doe into ABC insurer's bank account. 
e.g: John Doe's quotation request dated 12/25/2004. 
e.g: John Doe's quotation request dated 12/25/1990. 
e.g: Product launch campaign mailing to John Doe on 01/01/1997 
e.g: Tony Green's complaint faxed 08/11/2003 regarding discrepancy on premium. 
e.g: Tony Green's complaint faxed 08/11/2010 regarding discrepancy on premium invoice.
    </t>
  </si>
  <si>
    <t>Communication  Actual Time Period</t>
  </si>
  <si>
    <t xml:space="preserve">
The actual time period(date and time) the communication.
    </t>
  </si>
  <si>
    <t>Communication  Applied Communication Profile</t>
  </si>
  <si>
    <t xml:space="preserve">
This represents the communication profile (e.g. medium) used for communicating and the adaptations of the characteristics of this medium to the needs of an individual. This includes language preferences, visual preferences, audio preferences, cognitive preferences and mobility preferences.
    </t>
  </si>
  <si>
    <t>Communication  Description</t>
  </si>
  <si>
    <t xml:space="preserve">
A free-text statement describing the content of the communication.
    </t>
  </si>
  <si>
    <t>Communication  Directed Contact Method</t>
  </si>
  <si>
    <t xml:space="preserve">
This represents the contact method that is the destination for a communication (e.g. the contact method to which the communication is being directed).
    </t>
  </si>
  <si>
    <t>Communication  Direction Type Code</t>
  </si>
  <si>
    <t xml:space="preserve">
The direction of a communication relative to the originator.
    </t>
  </si>
  <si>
    <t>Communication  Followed Up On Communication</t>
  </si>
  <si>
    <t xml:space="preserve">
This represents a communication that is being followed-up on by a subsequent communication.
For example:
A company had a communication with a customer (e.g. this is communication #1).
Later, the company followed-up with the customer concerning the first communication (e.g. this is communication #2).
The communication that is being "followed-up on" is communication #1.
    </t>
  </si>
  <si>
    <t>Communication  Includes Communication Content</t>
  </si>
  <si>
    <t xml:space="preserve">
This represents the communication content included in a communication.
e.g: John Doe's communication dated 12/25/2008 has for content a filled out questionnaire for subscribing to a life insurance policy. 
e.g: The communication acceptance of offer has for content a signed proposal and a copy of the customer's birth certificate.
    </t>
  </si>
  <si>
    <t>Communication  Originating Contact Method</t>
  </si>
  <si>
    <t xml:space="preserve">
This represents the contact method from which a communication originates (e.g. the contact method from which the communication is being directed).
    </t>
  </si>
  <si>
    <t>Communication  Planned Time Period</t>
  </si>
  <si>
    <t xml:space="preserve">
The  time period  on which the communication is planned.
    </t>
  </si>
  <si>
    <t>Communication  Priority Code</t>
  </si>
  <si>
    <t xml:space="preserve">
The value that specifies the importance of this communication relative to other communications. 
e.g: 1 (High Priority) 
e.g: 5 (Low Priority)
    </t>
  </si>
  <si>
    <t>Communication  Purpose Code</t>
  </si>
  <si>
    <t xml:space="preserve">
Indicates a basic reason why a communication is initiated or is planned to be initiated.
    </t>
  </si>
  <si>
    <t>Communication  Receiver</t>
  </si>
  <si>
    <t xml:space="preserve">
This represents the party role acting as the "receiver" of the communication.
    </t>
  </si>
  <si>
    <t>Communication  Replied To Contact Method</t>
  </si>
  <si>
    <t xml:space="preserve">
This represents the contact method that is to be used when replying to a communication (e.g: an email has return address of email address jdoe@acord.org).
    </t>
  </si>
  <si>
    <t>Communication  Responded To Communication</t>
  </si>
  <si>
    <t xml:space="preserve">
This represents a communication that is being responded to by a subsequent communication.
For example:
A customer inquires to a company about a product or service (e.g. this is communication #1).
Later, the company responds to the customer concerning the first communication (e.g. this is communication #2).
The communication that is being "responded to" is communication #1.
    </t>
  </si>
  <si>
    <t>Communication  Sender</t>
  </si>
  <si>
    <t xml:space="preserve">
This represents the party role acting as the "sender" of the communication.
    </t>
  </si>
  <si>
    <t>Communication  Sending Contact Method</t>
  </si>
  <si>
    <t xml:space="preserve">
This represents the contact method that is to be used when sending a communication (e.g: the communication marketing letter is sent via the contact method Insurance Agent's Postal address).
    </t>
  </si>
  <si>
    <t>Communication Content</t>
  </si>
  <si>
    <t xml:space="preserve">
The breakdown of a communication into specified and free form content elements. The physical materialization of the communication content, in any format, electronic or physical, is expressed as a document. 
e.g: A claim form filled in by John Smith.
    </t>
  </si>
  <si>
    <t>Communication Content  Corrected Communication Content</t>
  </si>
  <si>
    <t xml:space="preserve">
This represents communication content being corrected by another communication content.
For example:
Communication content states conditions for services (communication content #1).
Later, new communication content is produced to correct the first communication content (e.g. this is communication content #2).
The communication content that is being "corrected" is communication content #1.
    </t>
  </si>
  <si>
    <t>Communication Content  Declarer</t>
  </si>
  <si>
    <t xml:space="preserve">
This represents the party role acting as the "declarer" of the communication content.
    </t>
  </si>
  <si>
    <t>Communication Content  Described Product Specification</t>
  </si>
  <si>
    <t xml:space="preserve">
This represents the product specification (e.g. blueprint/design) described by communication content.
    </t>
  </si>
  <si>
    <t>Communication Content  Included Communication Content</t>
  </si>
  <si>
    <t xml:space="preserve">
This represents communication content included in another communication content.
    </t>
  </si>
  <si>
    <t>Communication Content  Name</t>
  </si>
  <si>
    <t xml:space="preserve">
A text reference that aids the identification and understanding of this communication content. 
e.g: complaint 
e.g: direct debit authorization. 
e.g: Policy document
    </t>
  </si>
  <si>
    <t>Communication Content  Owner</t>
  </si>
  <si>
    <t xml:space="preserve">
This represents the party role acting as the "owner" of the communication content.
    </t>
  </si>
  <si>
    <t>Communication Content  Referenced Subject</t>
  </si>
  <si>
    <t xml:space="preserve">
This represents the subject referenced by the communication content.
    </t>
  </si>
  <si>
    <t>Communication Content  Utilized Document</t>
  </si>
  <si>
    <t xml:space="preserve">
This represents a document (physical or electronic) in which communication content is expressed.
    </t>
  </si>
  <si>
    <t>Communication Content Specification</t>
  </si>
  <si>
    <t xml:space="preserve">
This defines any element that can be used to form communication content. The elementary components of a template are either static or dynamic pieces of text or graphics.
    </t>
  </si>
  <si>
    <t>Communication Content Specification  Language Code</t>
  </si>
  <si>
    <t xml:space="preserve">
A code representing the language used in this standard text specification (see ISO 639).
    </t>
  </si>
  <si>
    <t>Communication Content Specification  Title</t>
  </si>
  <si>
    <t xml:space="preserve">
The label that identifies the non-unique specification of this document specification. 
e.g: Addressee section, main body, policyholder section and Appendix A.
    </t>
  </si>
  <si>
    <t>Communication Content Specification  Version Number</t>
  </si>
  <si>
    <t xml:space="preserve">
Version number
    </t>
  </si>
  <si>
    <t>Communication Content Specification Composition</t>
  </si>
  <si>
    <t xml:space="preserve">
A composition mechanism whereby a communication content template is decomposed into one or more child templates. 
e.g: A mailing document template is decomposed into a header dynamic text block and a body static text block. 
e.g: A product development survey the question: "Are you interested in this option?"
    </t>
  </si>
  <si>
    <t>Communication Content Specification Composition  Included Communication Content Specification</t>
  </si>
  <si>
    <t xml:space="preserve">
This represents the communication content specification included in a composition with a communication content template.
    </t>
  </si>
  <si>
    <t>Communication Content Specification Composition  Included In Communication Content Template</t>
  </si>
  <si>
    <t xml:space="preserve">
This represents the communication content template included in a composition with a communication content specification.
    </t>
  </si>
  <si>
    <t>Communication Content Specification Composition  Sequence Number</t>
  </si>
  <si>
    <t xml:space="preserve">
The relative position of the component standard text specification in the composite text block.
    </t>
  </si>
  <si>
    <t>Communication Content Template</t>
  </si>
  <si>
    <t xml:space="preserve">
A template comprised of one or more text or graphical components. Text components include static text blocks and dynamic text blocks.
e.g: The form used to fill in auto claims.
    </t>
  </si>
  <si>
    <t>Communication Effectiveness Score</t>
  </si>
  <si>
    <t xml:space="preserve">
A rating of the effectiveness of a communication. 
e.g: Communication preference mismatch: negative account balance printed in red, color not readable by customer. 
e.g: Wrong amounts paid following receipt of bill
    </t>
  </si>
  <si>
    <t>Communication Effectiveness Score  Assessed Communication</t>
  </si>
  <si>
    <t xml:space="preserve">
This represents the communication that is the subject of a communication effectiveness score.
    </t>
  </si>
  <si>
    <t>Communication Effectiveness Score  Rating Code</t>
  </si>
  <si>
    <t xml:space="preserve">
Rating indicating the effectiveness of the communication. 
e.g: error in response 
e.g: no error in response
    </t>
  </si>
  <si>
    <t>Communication Initiator</t>
  </si>
  <si>
    <t xml:space="preserve">
Person or organization who is the source of the communication.
    </t>
  </si>
  <si>
    <t>Communication Medium</t>
  </si>
  <si>
    <t xml:space="preserve">
The method of communicating with prospects. An example could be: face-to-face, phone, direct mail, etc.
    </t>
  </si>
  <si>
    <t>Communication Profile</t>
  </si>
  <si>
    <t xml:space="preserve">
The specification of the medium used for communicating and the adaptations of the characteristics of this medium to the needs of an individual. This includes language preferences, visual preferences, audio preferences, cognitive preferences and mobility preferences.
    </t>
  </si>
  <si>
    <t>Communication Profile  Priority Level</t>
  </si>
  <si>
    <t xml:space="preserve">
Indicates the priority of a communication profile when compared with other communication profiles.
    </t>
  </si>
  <si>
    <t>Communication Status</t>
  </si>
  <si>
    <t xml:space="preserve">
This represents the status of a communication.
    </t>
  </si>
  <si>
    <t>Communication Status  Code</t>
  </si>
  <si>
    <t xml:space="preserve">
The current status of the communication within the life cycle model. 
e.g: Awaiting further information 
e.g: Closed 
e.g: Open
    </t>
  </si>
  <si>
    <t>Community Rate Class</t>
  </si>
  <si>
    <t xml:space="preserve">
The classification assigned when community rating is used to determine a premium.
    </t>
  </si>
  <si>
    <t>Community Rating</t>
  </si>
  <si>
    <t xml:space="preserve">
This term is typically used in health insurance. A means of determining subscribers' fees by averaging the charge of the insurance among all insureds according medical and hospital costs in the community. No differentiation is made among the insured's in terms of individual risks assumed by the insured.
    </t>
  </si>
  <si>
    <t>Commutation</t>
  </si>
  <si>
    <t xml:space="preserve">
1: In Life Insurance, the exchange of a series of installment payments, as the result of an installment settlement, for a lump sum distribution. 2: In reinsurance, refers to the cancellation or dissolution of a reinsurance contract in which there are profits or losses to be allocated. For example, estimation, payment, and complete discharge of all future obligations for reinsurance losses incurred regardless of the continuing nature of certain losses. For example, such as unlimited medical and lifetime benefits for Workers Compensation; enabling the ceding company to take back for its own retention the reinsurer's share of unpaid liability.
    </t>
  </si>
  <si>
    <t>Commutation Agreement</t>
  </si>
  <si>
    <t xml:space="preserve">
An agreement between a ceding insurer and the reinsurer that provides for the valuation, payment, and complete discharge of all obligations between the parties under a particular reinsurance contract. Used if an insurer is withdrawing from underwriting a class of business.
    </t>
  </si>
  <si>
    <t>Commutation Agreement  Governed Reinsurance Agreement</t>
  </si>
  <si>
    <t xml:space="preserve">
This represents the reinsurance agreement governed by a commutation agreement.
    </t>
  </si>
  <si>
    <t>Company</t>
  </si>
  <si>
    <t xml:space="preserve">
A formal, legally registered entity, created for the purpose of conducting business. 
e.g: Acme Insurance Company.
    </t>
  </si>
  <si>
    <t>Company Headquarters Address</t>
  </si>
  <si>
    <t xml:space="preserve">
Postal address of the headquarters of the company.
    </t>
  </si>
  <si>
    <t>Company Status</t>
  </si>
  <si>
    <t xml:space="preserve">
This represents the status of a company.
    </t>
  </si>
  <si>
    <t>Company Status  Code</t>
  </si>
  <si>
    <t xml:space="preserve">
The current status of the company within the life-cycle model. 
e.g: Active 
e.g: Closed out 
e.g: Compulsory liquidation 
e.g: Liquidation
    </t>
  </si>
  <si>
    <t>Company Total Annual Gross Revenue</t>
  </si>
  <si>
    <t xml:space="preserve">
Total gross revenue of the company for a fiscal year
    </t>
  </si>
  <si>
    <t>Compensable Injury</t>
  </si>
  <si>
    <t xml:space="preserve">
An accidental injury or occupational disease that requires compensation.
    </t>
  </si>
  <si>
    <t>Competition Detail</t>
  </si>
  <si>
    <t xml:space="preserve">
Details regarding one or more competitors products, services and organization.
    </t>
  </si>
  <si>
    <t>Competitive Capability Analysis</t>
  </si>
  <si>
    <t xml:space="preserve">
The analysis of factors designed to answer the question, "how well is a firm doing compared to its competitors?" The analysis goes well beyond sales and profit figures in assessing the firm's ratings on such factors as price, product, technical capabilities, quality, customer service, delivery, and other important factors compared to each of the major competitors.
    </t>
  </si>
  <si>
    <t>Competitive Pricing Analysis</t>
  </si>
  <si>
    <t xml:space="preserve">
The analysis factors applied to researching product pricing versus competitors' pricing in the marketplace.
    </t>
  </si>
  <si>
    <t>Compound Financial Instrument</t>
  </si>
  <si>
    <t xml:space="preserve">
A financial instrument, which has both a liability and an equity element. In this case, accounting standards may require that the component parts be split, with each part accounted for and presented separately according to its substance. To illustrate, a convertible bond contains two components.
    </t>
  </si>
  <si>
    <t>Computer</t>
  </si>
  <si>
    <t xml:space="preserve">
This concept represents a single instance of a computer. This could be a personal laptop computer or a corporate mainframe.
    </t>
  </si>
  <si>
    <t>Computer Monitor</t>
  </si>
  <si>
    <t xml:space="preserve">
This concept represents a single instance of a computer monitor. This could be a personal computer flat panel LCD monitor or a plasma based HD monitor.
    </t>
  </si>
  <si>
    <t>Computer Monitor Specification</t>
  </si>
  <si>
    <t xml:space="preserve">
This represents the specification of the characteristics of a computer monitor.
    </t>
  </si>
  <si>
    <t>Computer Specification</t>
  </si>
  <si>
    <t xml:space="preserve">
This represents the specification of the characteristics of a computer.
    </t>
  </si>
  <si>
    <t>Computer Specification  Clock Speed</t>
  </si>
  <si>
    <t xml:space="preserve">
Clock speed of the computer model.
    </t>
  </si>
  <si>
    <t>Computer Specification  Internal Memory</t>
  </si>
  <si>
    <t xml:space="preserve">
Size of internal memory of the computer model.
    </t>
  </si>
  <si>
    <t>Concentration Risk Exposure</t>
  </si>
  <si>
    <t xml:space="preserve">
A risk exposure arising from concentration of financial services agreements in one particular market segment, geographical area, financial services product or product group.
    </t>
  </si>
  <si>
    <t>Concentration Risk Factor Score</t>
  </si>
  <si>
    <t xml:space="preserve">
The rating of characteristics that have an impact on the likelihood of loss to occur. 
The rating of factors that contribute to concentration risk.
    </t>
  </si>
  <si>
    <t>Concentration Risk Position</t>
  </si>
  <si>
    <t xml:space="preserve">
The estimate of the possible loss for a concentration risk exposure.
    </t>
  </si>
  <si>
    <t>Condition</t>
  </si>
  <si>
    <t xml:space="preserve">
The state of a party, place, or physical object at a given point in time. A condition may be readily observable or an objective evaluation. The objective evaluation may be either declared by an involved party or established as an outcome of an assessment activity. A condition covers physical results of loss events such as material damages, diseases or death, as well as any other states, such as good health.
e.g: Dent on a car. 
e.g: Pollution of a lake
    </t>
  </si>
  <si>
    <t>Condition  Caused By Activity</t>
  </si>
  <si>
    <t xml:space="preserve">
This represents the activity that caused a condition.
e.g. The habit of smoking may cause the condition lung cancer.
e.g. The hobby of jogging may cause the condition damaged tendon.
    </t>
  </si>
  <si>
    <t>Condition  Caused Claim</t>
  </si>
  <si>
    <t xml:space="preserve">
This represents a claim caused by a condition (e.g: The illness of John Doe caused the claim for hospital treatment).
    </t>
  </si>
  <si>
    <t>Condition  Caused Condition</t>
  </si>
  <si>
    <t xml:space="preserve">
This represents a condition caused by another condition.
e.g. The medical condition of bronchitis may be the cause of the medical condition pneumonia.
    </t>
  </si>
  <si>
    <t>Condition  Caused Loss Event</t>
  </si>
  <si>
    <t xml:space="preserve">
This represents the loss event that was caused by a condition.
e.g. The  automobile accident was caused by the driver's poor eyesight.
    </t>
  </si>
  <si>
    <t>Condition  Dependent Condition</t>
  </si>
  <si>
    <t xml:space="preserve">
This represents the dependent condition associated with a primary condition.
    </t>
  </si>
  <si>
    <t>Condition  Established Duration Period</t>
  </si>
  <si>
    <t xml:space="preserve">
The established duration (established by means of assessment or expert opinion) of  the condition.
    </t>
  </si>
  <si>
    <t>Condition  Generated Damage Reserve</t>
  </si>
  <si>
    <t xml:space="preserve">
This represents the damage reserve generated as a result of a condition.
    </t>
  </si>
  <si>
    <t>Condition  Involved Claim Coverage</t>
  </si>
  <si>
    <t xml:space="preserve">
This represents a claim coverage involved with a condition within the context of a claim.
    </t>
  </si>
  <si>
    <t>Condition  Loss Percentage</t>
  </si>
  <si>
    <t xml:space="preserve">
The degree of destruction of a physical object or the disability rate of a person from which partial or total disability can be determined. 
e.g: 100% (total write-off) 
e.g: 50% disable
    </t>
  </si>
  <si>
    <t>Condition  Primary Condition</t>
  </si>
  <si>
    <t xml:space="preserve">
This represents the primary condition to which a dependent condition depends.
    </t>
  </si>
  <si>
    <t>Condition  Recovered Damage Reserve</t>
  </si>
  <si>
    <t xml:space="preserve">
This represents a specific reserve for recoveries collected for damages defined.
    </t>
  </si>
  <si>
    <t>Condition  Repairable Code</t>
  </si>
  <si>
    <t xml:space="preserve">
Indicates whether the damages to the physical object are considered to be repairable. 
e.g: Economically not repairable. 
e.g: Physically not repairable. 
e.g: Repairable.
    </t>
  </si>
  <si>
    <t>Condition  Repairable Percentage</t>
  </si>
  <si>
    <t xml:space="preserve">
The degree of to which the condition (e.g. damage, defect, issue, etc.) can be repaired.
    </t>
  </si>
  <si>
    <t>Condition  Stated Duration Period</t>
  </si>
  <si>
    <t xml:space="preserve">
The stated duration (reported but not established) of the condition.
    </t>
  </si>
  <si>
    <t>Condition Category</t>
  </si>
  <si>
    <t xml:space="preserve">
This concept specifies a condition category.
    </t>
  </si>
  <si>
    <t>Conditionally Renewable Contract</t>
  </si>
  <si>
    <t xml:space="preserve">
An individual health insurance contract that gives the insurer a limited right to refuse to renew the contract at the end of a premium payment period for reasons specified in the contract. For example, a disability income contract might specify the continued employment of the insured, and a long-term care insurance contract might specify a maximum age limit.
    </t>
  </si>
  <si>
    <t>Condominium Building</t>
  </si>
  <si>
    <t xml:space="preserve">
This concept represents a condominium building. As such, it may contain condominium units.
    </t>
  </si>
  <si>
    <t>Confining Sickness</t>
  </si>
  <si>
    <t xml:space="preserve">
An illness that confines the insured to his or her home, a hospital or sanitarium.
    </t>
  </si>
  <si>
    <t>Conflict Association</t>
  </si>
  <si>
    <t xml:space="preserve">
This class identifies if there is a conflict between the two related product specification components. If one of the components is to be specified on the agreement, the other one is no longer applicable.
    </t>
  </si>
  <si>
    <t>Consequence Of Loss</t>
  </si>
  <si>
    <t xml:space="preserve">
An outcome that logically or naturally follows from an action or condition that triggers a claim.
    </t>
  </si>
  <si>
    <t>Construction Activity</t>
  </si>
  <si>
    <t xml:space="preserve">
Any construction activity that can occur at a given place.  e.g: The construction of the house of John Doe.
    </t>
  </si>
  <si>
    <t>Construction Equipment</t>
  </si>
  <si>
    <t xml:space="preserve">
This concept represents specific equipment typically listed on an Inland Marine schedule. These include tools used in part of construction. This does not include complex machinery or construction vehicles.
    </t>
  </si>
  <si>
    <t>Construction Equipment Specification</t>
  </si>
  <si>
    <t xml:space="preserve">
This represents the specification of the characteristics of a construction equipment item.
    </t>
  </si>
  <si>
    <t>Construction Materials</t>
  </si>
  <si>
    <t xml:space="preserve">
Construction materials are used to create structures, and includes but is not limited to: lumber, brick, stone, roofing materials, electrical wiring, piping, etc.
    </t>
  </si>
  <si>
    <t>Construction Project Managers -Total</t>
  </si>
  <si>
    <t xml:space="preserve">
Total number of construction project managers employed by the company.
    </t>
  </si>
  <si>
    <t>Construction Vehicle</t>
  </si>
  <si>
    <t xml:space="preserve">
This concept gives particular features of a construction vehicle.
    </t>
  </si>
  <si>
    <t>Construction Vehicle Specification</t>
  </si>
  <si>
    <t xml:space="preserve">
This represents the specification of the characteristics of a construction vehicle.
    </t>
  </si>
  <si>
    <t>Construction Vehicle Specification  Type Code</t>
  </si>
  <si>
    <t xml:space="preserve">
This represents a type of construction vehicle.
    </t>
  </si>
  <si>
    <t>Contact Address Preference</t>
  </si>
  <si>
    <t xml:space="preserve">
The location or address by which a person or organization has indicated they prefer to be contacted.
    </t>
  </si>
  <si>
    <t>Contact Method</t>
  </si>
  <si>
    <t xml:space="preserve">
An identification, or partial identification, defining the method and destination of a communication contact with a party role or party. The sub-types relate to specific communication media: postal address, telephone number, and electronic address. General locations (for example, France, Scandinavia, Washington) are excluded and are represented by place.
    </t>
  </si>
  <si>
    <t>Contact Method  Available Period</t>
  </si>
  <si>
    <t xml:space="preserve">
The time period from which the contact point may be used.
    </t>
  </si>
  <si>
    <t>Contact Method  Contact Instructions</t>
  </si>
  <si>
    <t xml:space="preserve">
The recorded advice which may be helpful when contacting the role player.
e.g: Be aware of the dog when making a house call.
    </t>
  </si>
  <si>
    <t>Contact Method  Last Validated Date Time</t>
  </si>
  <si>
    <t xml:space="preserve">
The date (and time) the contact preference was last checked for validity.
    </t>
  </si>
  <si>
    <t>Contact Method  Preferred Communication Profile</t>
  </si>
  <si>
    <t xml:space="preserve">
This is the communication profile (e.g. medium) preferred by the party or party role for communicating. This includes language preferences, visual preferences, audio preferences, cognitive preferences and mobility preferences.
    </t>
  </si>
  <si>
    <t>Contact Method  Preferred Party Name</t>
  </si>
  <si>
    <t xml:space="preserve">
This represents a preferred party name for a given contact method (telephone, email, etc.). The utility involves a scenario where a party has more than one name and prefers a particular name when being contacted.
    </t>
  </si>
  <si>
    <t>Contact Method  Preferred Timing Preference</t>
  </si>
  <si>
    <t xml:space="preserve">
This represents the timing preference (which may restrict when a contact point can be used) of a party or party role when being contacted (e.g. the preferred times and days of contact; e.g: Robert Paul prefers telephone contact on weekdays between 20:00 and 21:00).
    </t>
  </si>
  <si>
    <t>Contact Method  Priority Level</t>
  </si>
  <si>
    <t xml:space="preserve">
The relative priority of the contact preference with respect to the others.
e.g. 1 (Main/primary preference)
e.g. 5 (Low preference)
    </t>
  </si>
  <si>
    <t>Contact Method  Purpose</t>
  </si>
  <si>
    <t xml:space="preserve">
A text representation of the purpose for which a party / party role uses a contact preference. Purpose is more a classification, whereas contactUsage describes how a particular contact is used.
NOTE: This attribute is for use when the contact purpose is not enumerated (e.g. refer to the corresponding purposeCode).
    </t>
  </si>
  <si>
    <t>Contact Method  Purpose Code</t>
  </si>
  <si>
    <t xml:space="preserve">
The purpose for which a party / party role uses a contact preference. Purpose is more a classification, whereas contactUsage describes how a particular contact is used.
    </t>
  </si>
  <si>
    <t>Contact Method  Red List Indicator</t>
  </si>
  <si>
    <t xml:space="preserve">
Specifies if the contact point is in any red lists, such as those that exist in the United States and France. Such red lists prohibit the contact from being used in things like phone books, phone solicitation and mail solicitation. 
e.g., French "red list" for phone book listings 
e.g., United States "Do Not Call List" for phone numbers
    </t>
  </si>
  <si>
    <t>Contact Method  Solicitable Indicator</t>
  </si>
  <si>
    <t xml:space="preserve">
An indicator as to whether the contact point may be used for solicitation on this contact preference.
This indicator is derived from the purpose of the contact. Purposes that are considered to indicate a solicitable contact preference are 'marketing' and 'advertising'.
    </t>
  </si>
  <si>
    <t>Contact Method  Usage Code</t>
  </si>
  <si>
    <t xml:space="preserve">
The context  in which this contact preference is used, such as business contacts to be made while at work or personal contacts to be made while at home.
    </t>
  </si>
  <si>
    <t>Contact Method  Validation Result Code</t>
  </si>
  <si>
    <t xml:space="preserve">
The conclusion of  the most recent validity check.
    </t>
  </si>
  <si>
    <t>Contact Method Status</t>
  </si>
  <si>
    <t xml:space="preserve">
This represents the status of a contact method.
    </t>
  </si>
  <si>
    <t>Contact Method Status  Code</t>
  </si>
  <si>
    <t xml:space="preserve">
Indicates the status of the contact point.
    </t>
  </si>
  <si>
    <t>Contact Restriction</t>
  </si>
  <si>
    <t xml:space="preserve">
A restriction on the frequency and type of contact.
e.g: For John Doe, maximum of 2 contacts in any one day, 15 contacts in a year.
    </t>
  </si>
  <si>
    <t>Contact Restriction  Maximum Active Contact Count</t>
  </si>
  <si>
    <t xml:space="preserve">
The maximum number of contacts that can be active concurrently.
    </t>
  </si>
  <si>
    <t>Contact Restriction  Maximum Contact Count</t>
  </si>
  <si>
    <t xml:space="preserve">
The maximum number of times of contact in a given period. When a no contacted is preferred, the value is set to zero.
    </t>
  </si>
  <si>
    <t>Contact Restriction  Restriction Duration</t>
  </si>
  <si>
    <t xml:space="preserve">
The time period for which the maximum contact count is allowed.
    </t>
  </si>
  <si>
    <t>Contact Strategy</t>
  </si>
  <si>
    <t xml:space="preserve">
An approach defining the methods and techniques that have been identified as effective for initiating and managing communications with a contact. Communications can be used throughout the life-cycle including marketing, billing, etc. For example, an organization may elect not to use email as a communication medium for senior citizens or as a method for delivering past due notices.
    </t>
  </si>
  <si>
    <t>Contingency Reserve</t>
  </si>
  <si>
    <t xml:space="preserve">
A cash amount set aside to fund a contingent liability.
    </t>
  </si>
  <si>
    <t>Contingent Asset</t>
  </si>
  <si>
    <t xml:space="preserve">
An asset in which the possibility of ownership depends solely upon future events uncontrollable by the company, such as life insurance benefits to the beneficiaries.
    </t>
  </si>
  <si>
    <t>Contingent Commission</t>
  </si>
  <si>
    <t xml:space="preserve">
A commission that is paid based upon profitability or some other conditional event of the business written by producer or reinsurer. Examples of these events include: no claims, profitability clause, increase in contract counts, etc.
    </t>
  </si>
  <si>
    <t>Contingent Commission Amount</t>
  </si>
  <si>
    <t xml:space="preserve">
The total payment associated with the contingent commission.
    </t>
  </si>
  <si>
    <t>Contingent Commission Basis</t>
  </si>
  <si>
    <t xml:space="preserve">
The calculation on which contingent commission is determined.
    </t>
  </si>
  <si>
    <t>Contingent Commission Calculation Frequency</t>
  </si>
  <si>
    <t xml:space="preserve">
Indicates the frequency with which the contingent commission is to be calculated.
    </t>
  </si>
  <si>
    <t>Contingent Commission Carryforward</t>
  </si>
  <si>
    <t xml:space="preserve">
Coded indication of how deficits in each contract term will be carried forward when calculating contingent commission payable.
    </t>
  </si>
  <si>
    <t>Contingent Commission Percentage</t>
  </si>
  <si>
    <t xml:space="preserve">
Percentage of the amount based upon the conditional event (profit, no claims, contract counts, etc.) under a contract which will be payable as contingent commission.
    </t>
  </si>
  <si>
    <t>Contingent Liability</t>
  </si>
  <si>
    <t xml:space="preserve">
Liabilities that depend on uncertain events. All insurance is a contingent liability of the insurer because its indemnity obligations are triggered by uncertain events specified in the insurance contract.
    </t>
  </si>
  <si>
    <t>Contract</t>
  </si>
  <si>
    <t xml:space="preserve">
A legal agreement between people, companies, etc.
    </t>
  </si>
  <si>
    <t>Contract Administrator</t>
  </si>
  <si>
    <t xml:space="preserve">
A person or an organization designated by the insured to manage a contract or a portfolio of policies. The designation of an administrator can be specified for a particular risk, for the administration of premiums, claims or both.
    </t>
  </si>
  <si>
    <t>Contract Aggregate Limit</t>
  </si>
  <si>
    <t xml:space="preserve">
The maximum amount to be paid in respect of all claims of some type arising within a specified period of insurance. This typically is used when there is a reinstatement of a contract.
    </t>
  </si>
  <si>
    <t>Contract Asset Arrangement</t>
  </si>
  <si>
    <t xml:space="preserve">
Periodic fund transfers between financial holdings or within a single holding. Some examples include: Asset Rebalancing, Dollar Cost Averaging, Interest Sweep, Premium Allocation, etc.
    </t>
  </si>
  <si>
    <t>Contract Asset Arrangement Threshold</t>
  </si>
  <si>
    <t xml:space="preserve">
A maximum amount that when exceeded causes a re-balancing of funds to occur.
    </t>
  </si>
  <si>
    <t>Contract Limit And Retention Basis</t>
  </si>
  <si>
    <t xml:space="preserve">
Coded identification of the basis of the contract limits and retentions applicable to the claim being reported.
    </t>
  </si>
  <si>
    <t>Contract Loan</t>
  </si>
  <si>
    <t xml:space="preserve">
In life Insurance, when money is lent against the cash value of a life insurance contract. Loans can either be preferred, where the charged interest rate equals the credited interest rate, or regular, where they are subject to regular interest rates. The interest is usually paid either in advance, at the beginning of the contract anniversary year, or in arrears, at the end of a contract year.
    </t>
  </si>
  <si>
    <t>Contract Loan Capitalized Interest Allocation Rule</t>
  </si>
  <si>
    <t xml:space="preserve">
In Life Insurance, when a contract loan is taken, if the interest is capitalized, this is the rule which specifies how the interest is to be allocated among the sub-accounts in the contract.
    </t>
  </si>
  <si>
    <t>Contract Profile</t>
  </si>
  <si>
    <t xml:space="preserve">
Grouping of contract attributes used to perform analysis on policies that share the same characteristics. An example would be a life insurance contract with a $500,000 death benefit along with a homeowners contract with dwelling values less than $250,000.
    </t>
  </si>
  <si>
    <t>Contract Reinstatement</t>
  </si>
  <si>
    <t xml:space="preserve">
The process by which an insurer puts back into force an insurance contract that has either been terminated for nonpayment of premiums or continued as extended term or reduced paid-up coverage.
    </t>
  </si>
  <si>
    <t>Contract Reinstatement Reason</t>
  </si>
  <si>
    <t xml:space="preserve">
The condition that occurred that resulted in a contract being reinstated. Example includes payment received.
    </t>
  </si>
  <si>
    <t>Contract Retention</t>
  </si>
  <si>
    <t xml:space="preserve">
The amount which the reinsured's losses must exceed before payments may be collected on the reinsurance contract.
    </t>
  </si>
  <si>
    <t>Contractholder Company</t>
  </si>
  <si>
    <t xml:space="preserve">
A company owning an insurance contract. A representative of the company signs the insurance contract and makes a commitment to the insurer in the company's name
    </t>
  </si>
  <si>
    <t>Contractholder Company Representative</t>
  </si>
  <si>
    <t xml:space="preserve">
Person that legally represents a company in the context of this company being a contractholder of an insurance contract. The representative is authorized to sign documents for the company where it concerns the insurance contract.
    </t>
  </si>
  <si>
    <t>Control Tower</t>
  </si>
  <si>
    <t xml:space="preserve">
The primary method of controlling the immediate airport environment is visual observation from the aerodrome control tower.
    </t>
  </si>
  <si>
    <t>Conversion of Group</t>
  </si>
  <si>
    <t xml:space="preserve">
A contractual provision that allows a certificate holder to convert group life and health coverage to an individual contract under specific conditions.
    </t>
  </si>
  <si>
    <t>Conversion of Term</t>
  </si>
  <si>
    <t xml:space="preserve">
A contractual provision to obtain new permanent life insurance.
    </t>
  </si>
  <si>
    <t>Cooling</t>
  </si>
  <si>
    <t xml:space="preserve">
This represents various aspects about the cooling/air conditioning of a structure.
    </t>
  </si>
  <si>
    <t>Cooling  Central Indicator</t>
  </si>
  <si>
    <t xml:space="preserve">
This indicates whether or not there is a central air conditioning system.
    </t>
  </si>
  <si>
    <t>Cooling  Type Code</t>
  </si>
  <si>
    <t xml:space="preserve">
This indicates the type of cooling/air conditioning.
    </t>
  </si>
  <si>
    <t>Coordination Of Benefits</t>
  </si>
  <si>
    <t xml:space="preserve">
Method used when several contracts cover the same loss, in order to ensure that a person will not get a total benefit greater than the expenses incurred.
    </t>
  </si>
  <si>
    <t>Copayment</t>
  </si>
  <si>
    <t xml:space="preserve">
A partial amount paid for a medical service by an insured person.
    </t>
  </si>
  <si>
    <t>Copy Editor</t>
  </si>
  <si>
    <t xml:space="preserve">
This represents the party role of copy editor. The responsibilities of copy editor include, but are not limited to affirming text is readable, accurate, and ready for publication. The scope of relevant publications includes books, magazines, brochures, newspapers, and the like, including content for web use.
    </t>
  </si>
  <si>
    <t>Copywriter</t>
  </si>
  <si>
    <t xml:space="preserve">
This represents the party role of copywriter. The responsibilities of a copywriter include, but are not limited to producing the text and scripts utilized advertising, slogans, and the like. The text may be utilized in print or for audio and may complement advertising visuals.
    </t>
  </si>
  <si>
    <t>Corporate Owned Life Insurance (COLI)</t>
  </si>
  <si>
    <t xml:space="preserve">
Life insurance on employees' lives that is owned by the employer corporation to hedge against the financial cost of losing key employees.
    </t>
  </si>
  <si>
    <t>Correspondent Broker</t>
  </si>
  <si>
    <t xml:space="preserve">
The maintenance agency or broker of a contract that is responsible for correspondence.
    </t>
  </si>
  <si>
    <t>Cost Of Insurance</t>
  </si>
  <si>
    <t xml:space="preserve">
In Life Insurance, the value or cost of the actual net protection, in any month or year.
    </t>
  </si>
  <si>
    <t xml:space="preserve">
A country is a region legally identified as a distinct entity in political geography.
    </t>
  </si>
  <si>
    <t>Country  Alpha ISO Code</t>
  </si>
  <si>
    <t xml:space="preserve">
&lt;html&gt;
  &lt;head&gt;
		&lt;style&gt;
			p {padding:0px; margin:0px;}
		&lt;/style&gt;
	&lt;/head&gt;
  &lt;body&gt;
    &lt;p&gt;
See ISO codes definition (ISO 3166-1: A2)
    &lt;/p&gt;
  &lt;/body&gt;
&lt;/html&gt;
    </t>
  </si>
  <si>
    <t>Country  Extended ISO Code</t>
  </si>
  <si>
    <t xml:space="preserve">
See ISO codes definition (ISO 3166-1: A3)
    </t>
  </si>
  <si>
    <t>Country  Telephone Prefix Code</t>
  </si>
  <si>
    <t xml:space="preserve">
States the number one has to dial prior to the domestic number. 
e.g. United States: 1; France: 33
    </t>
  </si>
  <si>
    <t>Country Subdivision</t>
  </si>
  <si>
    <t xml:space="preserve">
This concept represents the first level decomposition of a country into subdivisions.
Examples:
Canada subdivides into provinces and territories
USA subdivides into states, territories, and a district
    </t>
  </si>
  <si>
    <t>Country Subdivision  Alpha ISO Code</t>
  </si>
  <si>
    <t xml:space="preserve">
See ISO codes definition (ISO 3166-2).
    </t>
  </si>
  <si>
    <t>Country Subdivision  Type Code</t>
  </si>
  <si>
    <t xml:space="preserve">
A code indicating the type of country subdivision (e.g. province, state, etc.).
    </t>
  </si>
  <si>
    <t>Cousin</t>
  </si>
  <si>
    <t xml:space="preserve">
This concept represents a cousin.
    </t>
  </si>
  <si>
    <t xml:space="preserve">
A financial services agreement component detailing the circumstances under which a benefit (money or services) will be paid. Effectively this provides protection against a particular risk. In property insurance, coverage identifies elements such as perils insured against, properties covered, locations covered, individuals insured and the limits of indemnification. In life insurance, a coverage identifies elements such as living and death benefits. 
e.g: Critical illness benefit, part of John's life policy.
    </t>
  </si>
  <si>
    <t>Coverage  Extended Reporting Duration</t>
  </si>
  <si>
    <t xml:space="preserve">
Period following the termination date of the policy or coverage in which a claim can still be accepted, provided the claimed loss has occurred during the coverage period. 
e.g: 2 years
    </t>
  </si>
  <si>
    <t>Coverage  Priority Code</t>
  </si>
  <si>
    <t xml:space="preserve">
Indicates the priority of the coverage in relation to other insurance policies that cover the same insured for the same risks. 
e.g: Contribution per limit ratio 
e.g: Equal share 
e.g: Excess 
e.g: Primary
    </t>
  </si>
  <si>
    <t>Coverage  Retroactive Start Date Time</t>
  </si>
  <si>
    <t xml:space="preserve">
The start date (and time) of policy coverage chosen as a date in the past preceding the policy inception date. 
e.g: 1 June 2004 where inception date is 1 March 2005
    </t>
  </si>
  <si>
    <t>Coverage Confirmation</t>
  </si>
  <si>
    <t xml:space="preserve">
The indication whether coverage of this claim has been confirmed.
    </t>
  </si>
  <si>
    <t>Coverage Dispute</t>
  </si>
  <si>
    <t xml:space="preserve">
Identifies the type of dispute or litigation occurring in the settlement of the claim. Examples include: excluded driver, excluded coverages, death without a death certificate, suicide, etc.
    </t>
  </si>
  <si>
    <t>Coverage Option</t>
  </si>
  <si>
    <t xml:space="preserve">
A condition that extends or restricts a specific coverage. An example: A $500 deductible on comprehensive can have full glass coverage option which removes the deductible if the windshield is broken.
    </t>
  </si>
  <si>
    <t>Coverage Specification  Age Date Use Code</t>
  </si>
  <si>
    <t xml:space="preserve">
Represents the kind of date to be reminded to evaluate the coverage definition
    </t>
  </si>
  <si>
    <t>Coverage Specification  Covered Risk Occurrence Count</t>
  </si>
  <si>
    <t xml:space="preserve">
Indicates the number of occurrences a risk will be covered by a coverage.
    </t>
  </si>
  <si>
    <t>Coverage Specification  Excluded Peril</t>
  </si>
  <si>
    <t xml:space="preserve">
This represents the peril excluded from a coverage (e.g. the "comprehensive coverage" as designed for personal auto excludes the peril: wear and tear).
    </t>
  </si>
  <si>
    <t>Coverage Specification  Included Peril</t>
  </si>
  <si>
    <t xml:space="preserve">
This represents the peril included in a coverage (e.g. the "comprehensive coverage" as designed for personal auto includes the perils: theft, vandalism, flood, hail, collision with an animal).
    </t>
  </si>
  <si>
    <t>Covered Amount</t>
  </si>
  <si>
    <t xml:space="preserve">
Agreed amount that will be paid to the beneficiary.
    </t>
  </si>
  <si>
    <t>Covered Expenses</t>
  </si>
  <si>
    <t xml:space="preserve">
Expenses related to the provision of goods or services to an insured, and covered by the insurance company under the terms of a contract.
    </t>
  </si>
  <si>
    <t>Covered Prescription Drug</t>
  </si>
  <si>
    <t xml:space="preserve">
A drug which can be dispensed only by prescription and which has been officially approved and is included in the insurance contract.
    </t>
  </si>
  <si>
    <t>Covered Vehicle Symbol</t>
  </si>
  <si>
    <t xml:space="preserve">
For Commercial Lines only: Symbols are placed on the declaration page by each applicable coverage. The indicated coverage will then apply only to those autos defined by the symbol used. There are nine options: 1- Any Auto, 2 - Owned Autos only, 3 - Owned Private Passenger Autos only, 4 - Owned Autos other than Private Passenger Autos only, 5 - Owned Autos subject to No-Fault, 6 - Owned Autos Subject to a Compulsory Uninsured Motorist Law, 7 - Specifically Described Autos, 8 - Hired Autos only, 9 - Non-owned Autos only
    </t>
  </si>
  <si>
    <t>Coverholder</t>
  </si>
  <si>
    <t xml:space="preserve">
In the United Kingdom, insurers enter into agreements with coverholders. These brokers act as agents for insurers, writing insurance contracts on their behalf and serving as their local representatives. Coverholders enable insurers to extend their geographic reach by benefiting from local knowledge of risks and market conditions in other parts of the UK or the world. (1)
A "Coverholder"  means a company or partnership authorized by a managing agent to enter into a contract or contracts of insurance to be underwritten by the members of a syndicate managed by it in accordance with the terms of a binding authority. There are two types of coverholder at Lloyd's namely "Approved Coverholders" and "Restricted Coverholders".  In addition, some Approved Coverholders may also be classified as "Service Company Coverholders". Lloyd's rules provide for the type of binding authority that each of these types of coverholder may be granted. (2)
A coverholder is party role with authority to bind risks to an original Master Cover contract or Binding Authority. The role is one where, on behalf on an insurance company, the party assumes responsibilities including and not limited to: underwriting risks, administering policies, collecting premiums, servicing and paying claims.  The coverholder and the insurance company typically have a separate contractual relationship that outlines details of the types of risks etc. the coverholder can underwrite and administer on the insurance company's behalf, and also the extent of the administration activity they undertake.
One example of a coverholder is an MGA (managing general agent) in the USA, to whom authority has been delegated to underwrite and administer surplus lines risks on behalf of insurers such as Lloyd's syndicates and surplus lines insurers.  In this example the original producer is generally the insurance agent, who takes a risk to an MGA when they cannot get coverage in the particular State where the risk is located.  However, examples outside USA will often see the coverholder marketing directly to insured's rather than relying on risks fed from normal agents.
Whether acting as an agent (producer) for an insurance company based on authorization granted by the insurance company, or acting as a producer on behalf of another producer, a coverholder is a producer.
    </t>
  </si>
  <si>
    <t>CPA</t>
  </si>
  <si>
    <t xml:space="preserve">
Certified Public Accountant (CPA)
    </t>
  </si>
  <si>
    <t>CPAP</t>
  </si>
  <si>
    <t xml:space="preserve">
Continuous Positive Airway Pressure (CPAP)
    </t>
  </si>
  <si>
    <t>CPCU</t>
  </si>
  <si>
    <t xml:space="preserve">
Chartered Property Casualty Underwriter (CPCU)
    </t>
  </si>
  <si>
    <t>cPSA</t>
  </si>
  <si>
    <t xml:space="preserve">
Prostate Specific Antigen, Complexed (cPSA)
    </t>
  </si>
  <si>
    <t>Crafted Item</t>
  </si>
  <si>
    <t xml:space="preserve">
This concept generalizes all types of items that are not manufactured or based on a model specification.  These items tend to be handmade and of some significant value.
    </t>
  </si>
  <si>
    <t>Crafted Item  Completed Date Time</t>
  </si>
  <si>
    <t xml:space="preserve">
The date (and time) at which the item was completed.
    </t>
  </si>
  <si>
    <t>Creator</t>
  </si>
  <si>
    <t xml:space="preserve">
This concept represents a party's role as the creator of a physical object.
e.g. manufacturer, craftsman, etc.
    </t>
  </si>
  <si>
    <t>Credit Card Agreement</t>
  </si>
  <si>
    <t xml:space="preserve">
A specific type of account agreement which enables a card holder to obtain products and services before payment is made. This is the agreement that establishes the terms and conditions for a credit card, debit card, etc.
    </t>
  </si>
  <si>
    <t>Credit Card Agreement  Brand Code</t>
  </si>
  <si>
    <t xml:space="preserve">
A code identifying the brand of the financial transaction card.
    </t>
  </si>
  <si>
    <t>Credit Card Agreement  Endorsement Code</t>
  </si>
  <si>
    <t xml:space="preserve">
Code indicating the type of card endorsement according to whether the card has the stamp or endorsement of a third party such as a non-profit organization, for promotional purposes. 
e.g: Non-endorsed 
e.g: Private
    </t>
  </si>
  <si>
    <t>Credit Card Agreement  Minimum Monthly Repayment Percentage</t>
  </si>
  <si>
    <t xml:space="preserve">
The minimum proportion of the outstanding balance which must be paid by the owner monthly.
    </t>
  </si>
  <si>
    <t>Credit Card Agreement  Type Code</t>
  </si>
  <si>
    <t xml:space="preserve">
A code identifying the type of financial transaction card.
    </t>
  </si>
  <si>
    <t>Credit Card ID</t>
  </si>
  <si>
    <t xml:space="preserve">
Also known as "CCID".
    </t>
  </si>
  <si>
    <t>Credit Rating Category</t>
  </si>
  <si>
    <t xml:space="preserve">
This concept specifies a credit rating category.
    </t>
  </si>
  <si>
    <t>Credit Risk Agreement</t>
  </si>
  <si>
    <t xml:space="preserve">
A risk agreement concerned with credit risk management.
    </t>
  </si>
  <si>
    <t>Credit Risk Exposure</t>
  </si>
  <si>
    <t xml:space="preserve">
A risk exposure arising from other parties owing the institution money and their changing ability, or willingness, to make payment.
    </t>
  </si>
  <si>
    <t>Credit Risk Position</t>
  </si>
  <si>
    <t xml:space="preserve">
The estimate of the possible loss for a credit risk exposure.
    </t>
  </si>
  <si>
    <t>Credit Score</t>
  </si>
  <si>
    <t xml:space="preserve">
A credit score (also known as a "credit rating") evaluates the credit worthiness of a debtor, especially a business (company) or a government. It is an evaluation made by a credit rating agency of the debtor's ability to pay back the debt and the likelihood of default.
    </t>
  </si>
  <si>
    <t>Credit Score  Credit Holdings Indicator</t>
  </si>
  <si>
    <t xml:space="preserve">
Indicates whether or not the customer holds credit at assessment time.
    </t>
  </si>
  <si>
    <t>Credit Score  Litigation Indicator</t>
  </si>
  <si>
    <t xml:space="preserve">
Indicates whether or not the customer is or ever was directly involved in a dispute or litigation.
    </t>
  </si>
  <si>
    <t>Credit Score  Payment Indicator</t>
  </si>
  <si>
    <t xml:space="preserve">
Indicates whether or not the customer usually pays on time.
    </t>
  </si>
  <si>
    <t>Credit Specialist</t>
  </si>
  <si>
    <t xml:space="preserve">
The party responsible for assessing the credit worthiness of an applicant with whom the modeled organization is considering making a financial services agreement.
    </t>
  </si>
  <si>
    <t>Creditor</t>
  </si>
  <si>
    <t xml:space="preserve">
A party to whom a debt is owned. 
e.g: A company that presents its bills to an account holder through a bill presentment service. 
e.g: The party with whom an account holder agrees to make further payments as specified in a direct debit mandate.
    </t>
  </si>
  <si>
    <t>Cresta Zones</t>
  </si>
  <si>
    <t xml:space="preserve">
Aggregated global zones for insurance risk assessment.
    </t>
  </si>
  <si>
    <t>Crew</t>
  </si>
  <si>
    <t xml:space="preserve">
The personnel engaged on board a vehicle. For marine insurance, this excludes the master and officers and for passenger ships also the passengers.
    </t>
  </si>
  <si>
    <t>Criminal Event</t>
  </si>
  <si>
    <t xml:space="preserve">
This concept represents a criminal event or incident.
    </t>
  </si>
  <si>
    <t>Criminal Event  Type Code</t>
  </si>
  <si>
    <t xml:space="preserve">
Indicates the type of criminal incident.
    </t>
  </si>
  <si>
    <t>Criminal Event Category</t>
  </si>
  <si>
    <t xml:space="preserve">
An event considered an intentional breaking of the law (e.g.,burglary, car-jacking, sabotage, theft, vandalism).
    </t>
  </si>
  <si>
    <t>Criminal Event Status</t>
  </si>
  <si>
    <t xml:space="preserve">
This represents the status of a criminal event or incident.
    </t>
  </si>
  <si>
    <t>Criminal Event Status  Code</t>
  </si>
  <si>
    <t xml:space="preserve">
Indicates the status of the criminal incident.
    </t>
  </si>
  <si>
    <t>CRM</t>
  </si>
  <si>
    <t xml:space="preserve">
Certified Risk Manager (CRM); Customer Relationship Management (CRM)
    </t>
  </si>
  <si>
    <t>CRO</t>
  </si>
  <si>
    <t xml:space="preserve">
Chief Risk Officer (CRO) Forum
    </t>
  </si>
  <si>
    <t>Crop</t>
  </si>
  <si>
    <t xml:space="preserve">
This generalizing concept represents the yield from plants in a single growing season as part of agribusiness.
    </t>
  </si>
  <si>
    <t>Crop  Management Type Code</t>
  </si>
  <si>
    <t xml:space="preserve">
A code indicating the applicable type of crop management.
    </t>
  </si>
  <si>
    <t>Cross-Sell</t>
  </si>
  <si>
    <t xml:space="preserve">
Cross-sell refers to the process of suggesting that customers buy additional, complementary, or related accessories or products. An example would be selling an automobile coverage to an existing homeowners customer.
    </t>
  </si>
  <si>
    <t>CRP</t>
  </si>
  <si>
    <t xml:space="preserve">
C-reactive Protein (CRP)
    </t>
  </si>
  <si>
    <t>CSC</t>
  </si>
  <si>
    <t xml:space="preserve">
Card Security Code (CSC)
    </t>
  </si>
  <si>
    <t>CSIO</t>
  </si>
  <si>
    <t xml:space="preserve">
Centre for Study of Insurance Operations (CSIO)
    </t>
  </si>
  <si>
    <t>CSO</t>
  </si>
  <si>
    <t xml:space="preserve">
Commissioners Standard Ordinary (CSO)
    </t>
  </si>
  <si>
    <t>CSR</t>
  </si>
  <si>
    <t xml:space="preserve">
Customer Service Representative (CSR)
    </t>
  </si>
  <si>
    <t>CSRP</t>
  </si>
  <si>
    <t xml:space="preserve">
Central Services Refresh Project (CSRP)
    </t>
  </si>
  <si>
    <t>Currency Risk Agreement</t>
  </si>
  <si>
    <t xml:space="preserve">
A risk agreement concerned with currency risk management.
    </t>
  </si>
  <si>
    <t>Currency Risk Exposure</t>
  </si>
  <si>
    <t xml:space="preserve">
A risk exposure arising from currency holdings, and the variation in rates of exchange and hence the value of those holdings.
    </t>
  </si>
  <si>
    <t>Currency Risk Factor Score</t>
  </si>
  <si>
    <t xml:space="preserve">
The rating of characteristics that have an impact on the likelihood of loss to occur. 
The rating of factors that contribute to currency risk.
    </t>
  </si>
  <si>
    <t>Currency Risk Factor Score  Average Daily Variance Percentage</t>
  </si>
  <si>
    <t xml:space="preserve">
Volatility of the currency exchange rate measured as the average of the daily variation in the exchange rate.
    </t>
  </si>
  <si>
    <t>Currency Risk Factor Score  Highest Exchange Rate</t>
  </si>
  <si>
    <t xml:space="preserve">
Highest exchange rate reached in previous period.
    </t>
  </si>
  <si>
    <t>Currency Risk Factor Score  Lowest Exchange Rate</t>
  </si>
  <si>
    <t xml:space="preserve">
Lowest exchange rate reached in previous period.
    </t>
  </si>
  <si>
    <t>Currency Risk Factor Score  Volatility Percentage</t>
  </si>
  <si>
    <t xml:space="preserve">
The proportional variation of the currency exchange rate versus the reference currency, as compared to the previous period.
    </t>
  </si>
  <si>
    <t>Currency Risk Position</t>
  </si>
  <si>
    <t xml:space="preserve">
The estimate of the possible loss for a currency risk exposure.
    </t>
  </si>
  <si>
    <t>Current Account Agreement</t>
  </si>
  <si>
    <t xml:space="preserve">
A deposit account agreement in which both parties agree to settle on one account all further credits and debits. At the end, only the balance is payable, no individual debit or credit being payable separately. On such an account, any part of the balance may be withdrawn at any time. This is often known as a bank account.
    </t>
  </si>
  <si>
    <t>Current Account Agreement  Authorised Overdraft Amount</t>
  </si>
  <si>
    <t xml:space="preserve">
The maximum amount of debit balance on a current account before incurring further penalties (like a higher interest rate).
    </t>
  </si>
  <si>
    <t>Current Account Agreement  Branch Code</t>
  </si>
  <si>
    <t xml:space="preserve">
The branch of the bank for an European bank account.
    </t>
  </si>
  <si>
    <t>Current Account Agreement  Country Code</t>
  </si>
  <si>
    <t xml:space="preserve">
The country code for an European bank account.
    </t>
  </si>
  <si>
    <t>Current Account Agreement  Iban Account Identifier</t>
  </si>
  <si>
    <t xml:space="preserve">
The International Bank Account Number (IBAN) is an international standard for identifying bank accounts across national borders.
    </t>
  </si>
  <si>
    <t>Current Account Agreement  Type Code</t>
  </si>
  <si>
    <t xml:space="preserve">
A code indicating a type of bank account.
    </t>
  </si>
  <si>
    <t>Current Assets Total Amount</t>
  </si>
  <si>
    <t xml:space="preserve">
Total assets on the balance sheet which are expected to be sold or otherwise used up in the near future, usually within one year. Typical current assets include cash, cash equivalents, accounts receivable, inventory, the portion of prepaid accounts which will be used within a year, and short-term investments.
    </t>
  </si>
  <si>
    <t>Current Liabilities</t>
  </si>
  <si>
    <t xml:space="preserve">
Debt that must be satisfied within the next twelve months.
    </t>
  </si>
  <si>
    <t>Current Liabilities Total Amount</t>
  </si>
  <si>
    <t xml:space="preserve">
Total liabilities of the business that are due within the fiscal year. For example, accounts payable for goods, services or supplies that were purchased for use in the operation of the business and payable within a normal period of time would be current liabilities.
    </t>
  </si>
  <si>
    <t>Current Retroactive Date</t>
  </si>
  <si>
    <t xml:space="preserve">
The date and/or time value of the retroactive date applicable to a claims made policy.
    </t>
  </si>
  <si>
    <t>Current Term Amount</t>
  </si>
  <si>
    <t xml:space="preserve">
The monetary value that constitutes the total gross amount that is for the current term, including premiums, plus taxes, fees, discounts, surcharges, etc. When a contract is issued for its normal full term, this is the amount due at inception.
    </t>
  </si>
  <si>
    <t>Custom Use</t>
  </si>
  <si>
    <t xml:space="preserve">
The covered item is used in a fashion other than its typical use. For example: in custom farming a piece of equipment is used for harvesting only (a tractor).
    </t>
  </si>
  <si>
    <t>Customary Expense Item</t>
  </si>
  <si>
    <t xml:space="preserve">
The permitted expense amount applicable to a claim or loss. This is typically used in the Coordination of Benefits. Common terms for this are Reasonable, Customary, and Necessary Amounts.
    </t>
  </si>
  <si>
    <t>Customer</t>
  </si>
  <si>
    <t xml:space="preserve">
A party (e.g. person or organization) to whom services, goods or benefits are currently, have been previously or will be supplied.
A party to whom another party has sold or wants to sell products and/or services. 
e.g: Jane Doe as a prospective customer of Acme Insurance Company. John Smith as a current customer of Acme Services Company.
    </t>
  </si>
  <si>
    <t>Customer  Primary Indicator</t>
  </si>
  <si>
    <t xml:space="preserve">
This represents an indicator the customer is designated as "primary" when there are multiple customers participating in the same customer relationship. 
For example, if the customers in the relationship are spouses and communications are to be directed to only one, this indicator would "flag" the primary one for such use.
    </t>
  </si>
  <si>
    <t>Customer Account Agreement</t>
  </si>
  <si>
    <t xml:space="preserve">
An account held by the financial services organization as a buffer for incoming and outgoing payments for the cost of services and payment of benefits for its customers. A customer may be allowed to make regular payments of a fixed amount rather than being required to pay varying amounts at irregular intervals. The financial services company will then use a customer account as a way of balancing the regular payments with the amounts that will become due at different times.
    </t>
  </si>
  <si>
    <t>Customer Acquisition Cost</t>
  </si>
  <si>
    <t xml:space="preserve">
The administrative costs and commission associated with a successful target response (turning a prospect into a customer).
    </t>
  </si>
  <si>
    <t>Customer Buying Habits</t>
  </si>
  <si>
    <t xml:space="preserve">
The business and marketing technique of identifying and defining how a customer prefers to purchase products (buyer behavior or past history). An example would be a customer's propensity to purchase insurance via the web vs. call center interaction.
    </t>
  </si>
  <si>
    <t>Customer Needs</t>
  </si>
  <si>
    <t xml:space="preserve">
The financial objective or requirement of a customer that can be supported or achieved by insurance contracts.
    </t>
  </si>
  <si>
    <t>Customer Needs Scenario</t>
  </si>
  <si>
    <t xml:space="preserve">
The customer needs scenarios are used by the selling function to demonstrate the customer which risks he is running.  This is normally not communicated to the insurance company. Typically, a customer needs scenario identifies certain needs that will be insured later on.
    </t>
  </si>
  <si>
    <t>Customer Relationship</t>
  </si>
  <si>
    <t xml:space="preserve">
This concept defines the relationship between a party acting as a Customer and another party  providing or offering products and/or services to the Customer.
    </t>
  </si>
  <si>
    <t>Customer Relationship  Benefiting From Commercial Assistance Indicator</t>
  </si>
  <si>
    <t xml:space="preserve">
Indicator of whether Customer has benefited from commercial assistance for one particular insurer.
    </t>
  </si>
  <si>
    <t>Customer Relationship  Claim Amount</t>
  </si>
  <si>
    <t xml:space="preserve">
The total monetary amount of claims, across all lines of business, related to this customer. It only  includes claims made to the modeled organization.
    </t>
  </si>
  <si>
    <t>Customer Relationship  Claim Count</t>
  </si>
  <si>
    <t xml:space="preserve">
The total number of claims, across all line of business, related to this customer. It only  includes claims made to the modeled organization.
    </t>
  </si>
  <si>
    <t>Customer Relationship  Claim During Claim Period Count</t>
  </si>
  <si>
    <t xml:space="preserve">
Total number of claims declared during a claim period in one particular insurer system.
    </t>
  </si>
  <si>
    <t>Customer Relationship  Claim Period Duration</t>
  </si>
  <si>
    <t xml:space="preserve">
The period of time associated with the customer's claim/loss history (e.g. 3 years).
    </t>
  </si>
  <si>
    <t>Customer Relationship  Commercial Assistance Description</t>
  </si>
  <si>
    <t xml:space="preserve">
Description of the commercial assistance that the Customer has already benefited by.
    </t>
  </si>
  <si>
    <t>Customer Relationship  Customer</t>
  </si>
  <si>
    <t xml:space="preserve">
This represents the party (customer) in the customer relationship.
    </t>
  </si>
  <si>
    <t>Customer Relationship  Customer Evaluation</t>
  </si>
  <si>
    <t xml:space="preserve">
Defined the evaluation of the Customer by the insurer on a rating scale from excellent to bad.
    </t>
  </si>
  <si>
    <t>Customer Relationship  Customership Date Time</t>
  </si>
  <si>
    <t xml:space="preserve">
The date (and time) when the person/organization becomes a customer.
    </t>
  </si>
  <si>
    <t>Customer Relationship  Established Amount</t>
  </si>
  <si>
    <t xml:space="preserve">
Defines the established value of the contracts a Customer has subscribed with one particular insurer. It represents a percentage of the potential value.
    </t>
  </si>
  <si>
    <t>Customer Relationship  Estimation Of Life Agreement Amount</t>
  </si>
  <si>
    <t xml:space="preserve">
Total estimation of the life contracts surrender value
    </t>
  </si>
  <si>
    <t>Customer Relationship  File Watch Alert Indicator</t>
  </si>
  <si>
    <t xml:space="preserve">
Defined if there is a file watch alert on the person/organization for one particular insurer.
    </t>
  </si>
  <si>
    <t>Customer Relationship  First Contact Method</t>
  </si>
  <si>
    <t xml:space="preserve">
States how the customer was first contacted
    </t>
  </si>
  <si>
    <t>Customer Relationship  Importance Level Code</t>
  </si>
  <si>
    <t xml:space="preserve">
The level of importance the customer has to the modeled organization. 
e.g: 1 (Highest priority/ VIP) 
e.g: 2 (High priority) 
e.g: 3 (Normal priority) 
e.g: 4 (Low priority)
    </t>
  </si>
  <si>
    <t>Customer Relationship  Latest Batch Processing Date Time</t>
  </si>
  <si>
    <t xml:space="preserve">
The date (and time) of the last batch processing date.
    </t>
  </si>
  <si>
    <t>Customer Relationship  Potential Amount</t>
  </si>
  <si>
    <t xml:space="preserve">
Defines the potential value of the contracts a Customer can subscribe with the insurer.
    </t>
  </si>
  <si>
    <t>Customer Relationship  Potential Commercial Assistance Description</t>
  </si>
  <si>
    <t xml:space="preserve">
Description of the potential commercial assistance.
    </t>
  </si>
  <si>
    <t>Customer Relationship  Qualified For Commercial Assistance Indicator</t>
  </si>
  <si>
    <t xml:space="preserve">
Defines if the Customer has qualified for a specific commercial assistance in the commercial organization of one particular insurer.
    </t>
  </si>
  <si>
    <t>Customer Relationship  Service Provider</t>
  </si>
  <si>
    <t xml:space="preserve">
This represents the service provider in a customer relationship (e.g. The party "Acme Company" has a customer relationship where it provides products and/or services to the person "William Shakespeare". In this relationship, Acme Company plays the role "service provider").
    </t>
  </si>
  <si>
    <t>Customer Relationship  Total Annual Subscriptions Amount</t>
  </si>
  <si>
    <t xml:space="preserve">
The total amount of annual subscription with one particular insurer.
    </t>
  </si>
  <si>
    <t>Customer Relationship  Vip Indicator</t>
  </si>
  <si>
    <t xml:space="preserve">
Defines the importance the insurer gives to the person/organization.
    </t>
  </si>
  <si>
    <t>Customer Relationship Status</t>
  </si>
  <si>
    <t xml:space="preserve">
This represents the status of a customer relationship.
    </t>
  </si>
  <si>
    <t>Customer Relationship Status  Code</t>
  </si>
  <si>
    <t xml:space="preserve">
The current status of the customer within the life-cycle model. 
e.g: Active 
e.g: Ex-Customer 
e.g: Prospect 
e.g: Suspect
    </t>
  </si>
  <si>
    <t>Customer Segmentation</t>
  </si>
  <si>
    <t xml:space="preserve">
See Market Segmentation.
    </t>
  </si>
  <si>
    <t>CVTA</t>
  </si>
  <si>
    <t xml:space="preserve">
Connected Vehicle Trade Association (CVTA)
    </t>
  </si>
  <si>
    <t>Damage Assessment</t>
  </si>
  <si>
    <t xml:space="preserve">
A specific type of assessment activity around damage caused to a physical object.
    </t>
  </si>
  <si>
    <t>Damage Reserve</t>
  </si>
  <si>
    <t xml:space="preserve">
This object is the reserve related to a Damage. 
Reserve types usually are:
- reserve for benefit
- reserve for recovery
    </t>
  </si>
  <si>
    <t>DBA</t>
  </si>
  <si>
    <t xml:space="preserve">
Doing Business As (DBA)
    </t>
  </si>
  <si>
    <t>DBO</t>
  </si>
  <si>
    <t xml:space="preserve">
Death Benefit Only (DBO)
    </t>
  </si>
  <si>
    <t>DBS</t>
  </si>
  <si>
    <t xml:space="preserve">
Dried Blood Spot (DBS)
    </t>
  </si>
  <si>
    <t>DCS</t>
  </si>
  <si>
    <t xml:space="preserve">
Data Capture Service (DCS)
    </t>
  </si>
  <si>
    <t>DDS</t>
  </si>
  <si>
    <t xml:space="preserve">
Doctor of Dental Surgery (DDS)
    </t>
  </si>
  <si>
    <t>Dead</t>
  </si>
  <si>
    <t xml:space="preserve">
This represents the condition of a subject as "dead" (e.g. no longer alive/living).
    </t>
  </si>
  <si>
    <t>Dead  Death Date Time</t>
  </si>
  <si>
    <t xml:space="preserve">
The date (and time) of the death.
    </t>
  </si>
  <si>
    <t>Dead  Registering Death Certificate</t>
  </si>
  <si>
    <t xml:space="preserve">
This represents the registration of a person who is dead (e.g. a death certificate).
    </t>
  </si>
  <si>
    <t>Death Benefit</t>
  </si>
  <si>
    <t xml:space="preserve">
A payment made to a designated beneficiary upon the death of a covered party.
    </t>
  </si>
  <si>
    <t>Death Benefit Option Type</t>
  </si>
  <si>
    <t xml:space="preserve">
The method in which a life insurance contract benefit amount is calculated upon the death of the insured. An example includes: Increasing Death Benefit Option.
    </t>
  </si>
  <si>
    <t>Death Benefit Payment Type</t>
  </si>
  <si>
    <t xml:space="preserve">
The method in which a life insurance contract death benefit will be paid. Examples include: installment refund, guaranteed income, etc.
    </t>
  </si>
  <si>
    <t>Death Certificate</t>
  </si>
  <si>
    <t xml:space="preserve">
An official recognition that a person has died. The registering of death impacts the insurer from the perspective of payments. Although notification of death will usually stop the insurer from trying to contact the deceased, it is only the formal registration of death that authorizes the payment of the life insurance policy value.
    </t>
  </si>
  <si>
    <t>Death Certificate  Registered Dead</t>
  </si>
  <si>
    <t xml:space="preserve">
This represents a person's condition of "dead" associated with the death certificate.
    </t>
  </si>
  <si>
    <t>Death Certificate  Registered Death Date Time</t>
  </si>
  <si>
    <t xml:space="preserve">
The date (and time) formally recognized as the death date of a person.
    </t>
  </si>
  <si>
    <t>Deck</t>
  </si>
  <si>
    <t xml:space="preserve">
In architecture, a deck is a flat surface capable of supporting weight, similar to a floor, but typically constructed outdoors, often elevated from the ground, and usually connected to a building.
    </t>
  </si>
  <si>
    <t>Deck  Material Type Code</t>
  </si>
  <si>
    <t xml:space="preserve">
This code indicates the type of material of which the deck is constructed/fabricated.
    </t>
  </si>
  <si>
    <t>Declaration Section</t>
  </si>
  <si>
    <t xml:space="preserve">
Section of the contract containing such information as name, description, and location of insured property; name and address of the insured; period a contract is in force; premiums payable; and the amount of coverage.
    </t>
  </si>
  <si>
    <t>Declination</t>
  </si>
  <si>
    <t xml:space="preserve">
A rejection by an insurance company of an application for a contract, risk or coverage.
    </t>
  </si>
  <si>
    <t>Deductible</t>
  </si>
  <si>
    <t xml:space="preserve">
An amount the insurer will deduct from the loss before making payment on same.
    </t>
  </si>
  <si>
    <t>Deductible Specification  Applies To Code</t>
  </si>
  <si>
    <t>Deductible Specification  Type Code</t>
  </si>
  <si>
    <t>Defendant</t>
  </si>
  <si>
    <t xml:space="preserve">
A party in a legal action from whom the plaintiff seeks releases because of damage that is claimed to have been caused by the defendant.
    </t>
  </si>
  <si>
    <t>Defensive Driver</t>
  </si>
  <si>
    <t xml:space="preserve">
A person who has attended an accredited defensive driving course for the purpose of qualifying for a discount in premium.
    </t>
  </si>
  <si>
    <t>Deferred Commission Released Amount</t>
  </si>
  <si>
    <t xml:space="preserve">
The total amount of all commission relating to deferred premium now released, that was retained as a reserve in the previous accounting period.
    </t>
  </si>
  <si>
    <t>Deferred Commission Retained Amount</t>
  </si>
  <si>
    <t xml:space="preserve">
The total amount of commissions relating to all premiums retained (including additional premiums, return premiums and cancellations) for which payment has been deferred until due dates outside the period for which the account is rendered.
    </t>
  </si>
  <si>
    <t>Deferred Installment Brokerage Amount</t>
  </si>
  <si>
    <t xml:space="preserve">
Brokerage relating to deferred installment premium amounts (this allows international trading within the London Market and will be used in proportional treaty account transactions).
    </t>
  </si>
  <si>
    <t>Deferred Installment Commission Amount</t>
  </si>
  <si>
    <t xml:space="preserve">
Commission relating to deferred installment premium amounts (this allows international trading within the London Market and will be used in proportional treaty account transactions).
    </t>
  </si>
  <si>
    <t>Deferred Installment Other Deductions Receiver Sha</t>
  </si>
  <si>
    <t xml:space="preserve">
Other deductions relating to deferred installment premium amounts (this allows international trading within the London Market and will be used in proportional treaty account transactions).
    </t>
  </si>
  <si>
    <t>Deferred Installment Overriding Commission Amount</t>
  </si>
  <si>
    <t xml:space="preserve">
Overriding commission relating to deferred installment premium amounts (this allows international trading within the London Market and will be used in proportional treaty account transactions).
    </t>
  </si>
  <si>
    <t>Deficiency Reserve</t>
  </si>
  <si>
    <t xml:space="preserve">
Addition to an insurance companies reserves, required by various states, because the valuation premium is greater than the gross premium.
    </t>
  </si>
  <si>
    <t>Deficit Reduction Act (DEFRA)</t>
  </si>
  <si>
    <t xml:space="preserve">
Federal legislation adopted in 1984 as part of the Tax Reform Act that (1) prohibits tax deductions for contributions to 501(c)(9) trusts or premiums paid to experience-rated plans if reserves for benefits exceed specified benefit levels; (2) excludes most taxable benefits from being offered for flexible benefit plans and flexible spending accounts; (3) requires that employers provide retirement-age employee spouses with the opportunity to enroll in employee health insurance programs.
    </t>
  </si>
  <si>
    <t>DEFRA</t>
  </si>
  <si>
    <t xml:space="preserve">
Deficit Reduction Act (DEFRA)
    </t>
  </si>
  <si>
    <t>Delivery Channel</t>
  </si>
  <si>
    <t>Demographic Score</t>
  </si>
  <si>
    <t xml:space="preserve">
Assessment results from a demographic analysis of the population of an area. The actual list of attributes is very dependent on the information provider. The attributes listed here are only examples of demographic information generally available on the market.
    </t>
  </si>
  <si>
    <t>Demographic Score  Average Age</t>
  </si>
  <si>
    <t xml:space="preserve">
The average age of residents.
    </t>
  </si>
  <si>
    <t>Demographic Score  Average Building Age</t>
  </si>
  <si>
    <t xml:space="preserve">
The average age of buildings.
    </t>
  </si>
  <si>
    <t>Demographic Score  Average Family Size</t>
  </si>
  <si>
    <t xml:space="preserve">
The average count of members in each family.
    </t>
  </si>
  <si>
    <t>Demographic Score  Average Household Dwelling Size</t>
  </si>
  <si>
    <t xml:space="preserve">
The average floor space of dwellings.
    </t>
  </si>
  <si>
    <t>Demographic Score  Average In Household Size</t>
  </si>
  <si>
    <t xml:space="preserve">
The average count of members in each household.
    </t>
  </si>
  <si>
    <t>Demographic Score  Blue Collar Percentage</t>
  </si>
  <si>
    <t xml:space="preserve">
The percentage of the workforce resident in the geographic area that are employed in manual occupations.
    </t>
  </si>
  <si>
    <t>Demographic Score  Building Degree Code</t>
  </si>
  <si>
    <t xml:space="preserve">
Code indicating the density of buildings and population in an occurrence of place. 
e.g: Exurban 
e.g: Rural 
e.g: Suburban 
e.g: Urban
    </t>
  </si>
  <si>
    <t>Demographic Score  Building Design Style Code</t>
  </si>
  <si>
    <t xml:space="preserve">
The typical design style of the buildings.
    </t>
  </si>
  <si>
    <t>Demographic Score  Degree Only Percentage</t>
  </si>
  <si>
    <t xml:space="preserve">
The percentage of adults resident in the geographic area that have a degree but no higher level academic qualification.
    </t>
  </si>
  <si>
    <t>Demographic Score  Dwelling Ownership Percentage</t>
  </si>
  <si>
    <t xml:space="preserve">
The percentage of dwellings that are owner-occupied.
    </t>
  </si>
  <si>
    <t>Demographic Score  Family Households Percentage</t>
  </si>
  <si>
    <t xml:space="preserve">
The percentage of households resident in the geographic area that include a couple, of whom one is designated as the head of the household, as well as at least one child of the couple.
    </t>
  </si>
  <si>
    <t>Demographic Score  High School Diploma Only Percentage</t>
  </si>
  <si>
    <t xml:space="preserve">
The percentage of adults resident in the geographic area that have second level / high school academic qualifications only.
    </t>
  </si>
  <si>
    <t>Demographic Score  Households Low Income Percentage</t>
  </si>
  <si>
    <t xml:space="preserve">
The percentage of households resident in the geographic area that have a total net of tax income of less than a certain threshold amount.
    </t>
  </si>
  <si>
    <t>Demographic Score  Households With Children Percentage</t>
  </si>
  <si>
    <t xml:space="preserve">
The percentage of households resident in the geographic area that include at least one dependent child.
    </t>
  </si>
  <si>
    <t>Demographic Score  Housing Unit Size Distribution</t>
  </si>
  <si>
    <t xml:space="preserve">
The statistic distribution of the housing units located in the geographic area that are part of a single physical structure.
    </t>
  </si>
  <si>
    <t>Demographic Score  Housing Units Owner Occupied Percentage</t>
  </si>
  <si>
    <t xml:space="preserve">
The percentage of housing units located in the geographic area that are owned by one of their residents.
    </t>
  </si>
  <si>
    <t>Demographic Score  Housing Units Single Unit Detached Percentage</t>
  </si>
  <si>
    <t xml:space="preserve">
The percentage of housing units located in the geographic area that are designed to accommodate a single household and are not physically attached to any other housing unit.
    </t>
  </si>
  <si>
    <t>Demographic Score  Main Language Code</t>
  </si>
  <si>
    <t xml:space="preserve">
A code representing the main language used in the demographic area which is the subject of an assessment. (see ISO 639).
For example, the main language in Montreal (Canada) would be French and the secondary language would be English.
    </t>
  </si>
  <si>
    <t>Demographic Score  Median Income Amount</t>
  </si>
  <si>
    <t xml:space="preserve">
The median net of tax income of the households in the geographic area.
    </t>
  </si>
  <si>
    <t>Demographic Score  Median Monthly Rent Amount</t>
  </si>
  <si>
    <t xml:space="preserve">
The median monthly rental payments for rental residential properties paid by households in the geographic area.
    </t>
  </si>
  <si>
    <t>Demographic Score  Median Property Value Amount</t>
  </si>
  <si>
    <t xml:space="preserve">
The median market value of the residential properties belonging to households in the geographic area.
    </t>
  </si>
  <si>
    <t>Demographic Score  No College Degree Percentage</t>
  </si>
  <si>
    <t xml:space="preserve">
The percentage of adults resident in the geographic area that have a university level academic qualification other than a degree.
    </t>
  </si>
  <si>
    <t>Demographic Score  No High School Diploma Percentage</t>
  </si>
  <si>
    <t xml:space="preserve">
The percentage of adults resident in the geographic area that have no second level / high school academic qualifications
    </t>
  </si>
  <si>
    <t>Demographic Score  Population Density Code</t>
  </si>
  <si>
    <t xml:space="preserve">
The classification of places by their density of human population. 
e.g: City area 
e.g: Not populated 
e.g: Rural area
    </t>
  </si>
  <si>
    <t>Demographic Score  Population Density Measurement</t>
  </si>
  <si>
    <t xml:space="preserve">
The ratio of the population count resident in the geographic area to the area of the region.
    </t>
  </si>
  <si>
    <t>Demographic Score  Professional Employment Percentage</t>
  </si>
  <si>
    <t xml:space="preserve">
The percentage of adult residents whose occupation is classified professional, for example, lawyers and doctors.
    </t>
  </si>
  <si>
    <t>Demographic Score  Professional White Collar Percentage</t>
  </si>
  <si>
    <t xml:space="preserve">
The percentage of the workforce resident in the geographic area that are employed in professional occupations.
    </t>
  </si>
  <si>
    <t>Demographic Score  Purchasing Power Code</t>
  </si>
  <si>
    <t xml:space="preserve">
Code indicating the rating of the relative spending power of the inhabitants of a particular area represented by place, as for example, the purchasing power of inner city Paris residents. 
Typically, this type of information is purchased from an information broker or other external source. 
e.g: Affluent 
e.g: Government assistance 
e.g: Low income 
e.g: Upper middle income
    </t>
  </si>
  <si>
    <t>Demographic Score  Sociological Structure</t>
  </si>
  <si>
    <t xml:space="preserve">
The predominant socio-economic level of residents.
    </t>
  </si>
  <si>
    <t>Demographic Score  Suburban Percentage</t>
  </si>
  <si>
    <t xml:space="preserve">
The percentage of the geographic area that is classified as suburban.
    </t>
  </si>
  <si>
    <t>Demographic Score  Unmarried Households Percentage</t>
  </si>
  <si>
    <t xml:space="preserve">
The percentage of households resident in the geographic area that do not include a married couple.
    </t>
  </si>
  <si>
    <t>Demographic Score  Urban Percentage</t>
  </si>
  <si>
    <t xml:space="preserve">
The percentage of the geographic area that is classified as urban.
    </t>
  </si>
  <si>
    <t>Demographic Score  White Collar Percentage</t>
  </si>
  <si>
    <t xml:space="preserve">
The percentage of the workforce resident in the geographic area that are employed in non-manual office-based occupations.
    </t>
  </si>
  <si>
    <t>Departmental Unit</t>
  </si>
  <si>
    <t xml:space="preserve">
A component or subdivision of an organization unit established for the purpose of performing discrete functional responsibilities. It represents a level in the organizational structure of the modeled organization. 
e.g: Claims Department of Acme Insurance Company.
    </t>
  </si>
  <si>
    <t>Deposit Account Agreement</t>
  </si>
  <si>
    <t xml:space="preserve">
An account agreement on which deposits are made. Interest may or may not be payable depending on the nature of the account.
    </t>
  </si>
  <si>
    <t>Derivative</t>
  </si>
  <si>
    <t xml:space="preserve">
A financial asset of which the value is based on the price of another financial asset (the underlying asset). The terms and conditions of a derivative are defined through a derivative contract. Derivatives are often used to protect assets against changes in value.
    </t>
  </si>
  <si>
    <t>Derivative Agreement</t>
  </si>
  <si>
    <t xml:space="preserve">
An agreement specifying the obligations that the issuer of a derivative commits to. 
e.g: Forwards are contracts to purchase or sell a specific quantity of a financial instrument, a commodity, or a foreign currency at a specified price determined at the outset, with delivery or settlement at a specified future date. Settlement is at maturity by actual delivery of the item specified in the contract, or by a net cash settlement. 
e.g: Interest Rate Swaps and Forward Rate Agreements are contracts to exchange cash flows as of a specified date or a series of specified dates based on a notional amount and fixed and floating rates.
    </t>
  </si>
  <si>
    <t>Derivative Agreement  Managed Financial Asset</t>
  </si>
  <si>
    <t xml:space="preserve">
This represents a financial asset associated with a derivative agreement.
    </t>
  </si>
  <si>
    <t>DIA</t>
  </si>
  <si>
    <t xml:space="preserve">
Deferred Income Annuity (DIA)
    </t>
  </si>
  <si>
    <t>Dimension</t>
  </si>
  <si>
    <t xml:space="preserve">
This represents the physical dimension (e.g. proportion, size) of a physical object (e.g. the height of an antenna tower is 100 feet, the volume of a storage tank is 500 gallons, etc.).
    </t>
  </si>
  <si>
    <t>Dimension  Measure</t>
  </si>
  <si>
    <t xml:space="preserve">
This represents the physical measurement of a noted dimension. For example, the dimension "length" could have a measurement of "3 feet" or "1 meter".
    </t>
  </si>
  <si>
    <t>Dimension  Type Code</t>
  </si>
  <si>
    <t xml:space="preserve">
This represents the type of dimension being measured (e.g. height, length, width, area, etc.).
    </t>
  </si>
  <si>
    <t>Direct Marketing</t>
  </si>
  <si>
    <t xml:space="preserve">
The marketing of insurance products directly, typically without a producer meeting face to face with the customer. Sales are solicited via phone, web or mail.
    </t>
  </si>
  <si>
    <t>Direct Writer</t>
  </si>
  <si>
    <t xml:space="preserve">
Insurance companies that sell directly to the public using exclusive agents or their own employees, through the mail, or via Internet. In reinsurance, denotes reinsurers that deal directly with the insurance companies they reinsure without using a broker.
    </t>
  </si>
  <si>
    <t>Director/Officer</t>
  </si>
  <si>
    <t xml:space="preserve">
A person appointed to some position of responsibility or authority in a corporation.
    </t>
  </si>
  <si>
    <t>DISA</t>
  </si>
  <si>
    <t xml:space="preserve">
Data Interchange Standards Association (DISA)
    </t>
  </si>
  <si>
    <t>Disability</t>
  </si>
  <si>
    <t xml:space="preserve">
This represents a person's disability (e.g. paralysis, blindness, etc.).
    </t>
  </si>
  <si>
    <t>Disability  Hospitalization Indicator</t>
  </si>
  <si>
    <t xml:space="preserve">
Indicates if an hospitalization was necessary and done.
    </t>
  </si>
  <si>
    <t>Disability  Rate</t>
  </si>
  <si>
    <t xml:space="preserve">
This represents the disability rate.
    </t>
  </si>
  <si>
    <t>Disability  Sick Leave Indicator</t>
  </si>
  <si>
    <t xml:space="preserve">
It indicates if work has been stopped for the insured
    </t>
  </si>
  <si>
    <t>Disability  Sick Leave Time Period</t>
  </si>
  <si>
    <t xml:space="preserve">
It indicates the time period of the sick leave.
Used for disability insurance for daily indemnity payments.
    </t>
  </si>
  <si>
    <t>Disability  Sick Leave Type</t>
  </si>
  <si>
    <t xml:space="preserve">
Indicates the type of sick leave
    </t>
  </si>
  <si>
    <t>Disability Coverage</t>
  </si>
  <si>
    <t xml:space="preserve">
This insurance coverage class is used to express disability insurance benefits.
    </t>
  </si>
  <si>
    <t>Disability Coverage Specification  Type Code</t>
  </si>
  <si>
    <t xml:space="preserve">
This represents a disability coverage.
    </t>
  </si>
  <si>
    <t>Disability Level</t>
  </si>
  <si>
    <t xml:space="preserve">
'Degree of reduction in the capacity to work (degree of disability) assessed by comparing a normal person of the same age in good health practicing the same profession or a socially equivalent profession.
    </t>
  </si>
  <si>
    <t>Disaster Assistance Case Identifier</t>
  </si>
  <si>
    <t xml:space="preserve">
The case number assigned by a jurisdictional agency for individual disaster losses.
    </t>
  </si>
  <si>
    <t>Dispute</t>
  </si>
  <si>
    <t xml:space="preserve">
This concept is a way to represent a dispute.
    </t>
  </si>
  <si>
    <t>Dispute  Disputed Claim</t>
  </si>
  <si>
    <t xml:space="preserve">
This represents the claim being disputed by a dispute.
    </t>
  </si>
  <si>
    <t>Dispute  Motive</t>
  </si>
  <si>
    <t xml:space="preserve">
The motive/reason for the dispute.
    </t>
  </si>
  <si>
    <t>Dispute  Validity Code</t>
  </si>
  <si>
    <t xml:space="preserve">
The validity of the dispute.
    </t>
  </si>
  <si>
    <t>Dispute Period</t>
  </si>
  <si>
    <t xml:space="preserve">
Duration of the dispute.
    </t>
  </si>
  <si>
    <t>Distance Type</t>
  </si>
  <si>
    <t xml:space="preserve">
The distance the goods transported is based upon average or maximum distance. This term is typically used in Commercial Inland Marine to assess risk.
    </t>
  </si>
  <si>
    <t>Distribution Agreement</t>
  </si>
  <si>
    <t xml:space="preserve">
This represents an agreement a producer (beyond contracting) and an insurance company. The producer may be an organization or a person. These types of agreements are specific to the distribution of products and the related commission structure/schedules. It is often put in place between MGA's and an insurance company.
    </t>
  </si>
  <si>
    <t>Distribution Channel</t>
  </si>
  <si>
    <t xml:space="preserve">
A means of marketing, distributing, or servicing insurance policies. It includes agents, agencies, direct sales forces, telecenters, branches, the Internet, kiosks, etc.
    </t>
  </si>
  <si>
    <t>Distribution Level</t>
  </si>
  <si>
    <t xml:space="preserve">
A distribution categorization defined by an insurance company. Some examples include: branch, national, regional, captive, field, etc.
    </t>
  </si>
  <si>
    <t>DIU</t>
  </si>
  <si>
    <t xml:space="preserve">
Diuretics In Urine (DIU)
    </t>
  </si>
  <si>
    <t>Dividend</t>
  </si>
  <si>
    <t xml:space="preserve">
Sum returned to a contract owner by an insurance company under a participating contract.
    </t>
  </si>
  <si>
    <t>Dividend Option</t>
  </si>
  <si>
    <t xml:space="preserve">
This concept represents a method of handling agreement-holder dividends. For example: Add dividends to cash value, pay in cash, paid up addition, reduce loan value, etc.
NOTE: This may also describe how the agreement-holder wants to use the profit shares for the agreement. For example, the profit sharing bonus (sometimes called dividend) is a share in the profits or surplus of the insurer. It can be used to increase the coverage or it can be returned directly to the policyholder in the form of a rebate on premium payments due.
    </t>
  </si>
  <si>
    <t>Dividend Option  One Year Term Option Code</t>
  </si>
  <si>
    <t xml:space="preserve">
This represents the dividend option for the One Year Term portion of the dividend.
    </t>
  </si>
  <si>
    <t>Dividend Option Specification  Type Code</t>
  </si>
  <si>
    <t xml:space="preserve">
An indication of  how the profit sharing amounts  will be used. In case the customer chooses for one year Term benefits, these benefits will be attached to the Life policy as a separate death coverage. 
e.g: Accumulate at interest 
e.g: Add dividend to cash value (UL) 
e.g: Economatic 
e.g: Other 
e.g: Paid in cash
e.g: Paid-Up Additions 
e.g: Plan enhancement (improves until lifetime then shortens premium duration). 
e.g: Policy Improvement (improves until lifetime plan). 
e.g: Reduce Loan Values 
e.g: Reduce loan values, balance in cash 
e.g: Reduce loan values, balance to accumulate 
e.g: Reduce loan values, balance to PUA 
e.g: Reduce Premium 
e.g: Reduce premium, balance in cash 
e.g: Reduce premium, balance to accumulate 
e.g: Reduce premium, balance to PUA 
e.g: Specified amount in cash balance to PUA 
e.g: Term Dividend Option (FULL) 
e.g: Unknown
    </t>
  </si>
  <si>
    <t>Dividend Reduction</t>
  </si>
  <si>
    <t xml:space="preserve">
A decrease in the premium due as a result of an earned dividend.
    </t>
  </si>
  <si>
    <t>DMD</t>
  </si>
  <si>
    <t xml:space="preserve">
Doctor of Dental Medicine (DMD)
    </t>
  </si>
  <si>
    <t>DMV</t>
  </si>
  <si>
    <t xml:space="preserve">
Department of Motor Vehicles (DMV)
    </t>
  </si>
  <si>
    <t>Docked Watercraft</t>
  </si>
  <si>
    <t xml:space="preserve">
This role represents a docked watercraft in the context of the place at which it is docked.
    </t>
  </si>
  <si>
    <t>Document</t>
  </si>
  <si>
    <t xml:space="preserve">
This concept is a generalizing concept for all documents (for example : an expert report, a letter with free text, passport...)
    </t>
  </si>
  <si>
    <t>Document  Effective Period</t>
  </si>
  <si>
    <t xml:space="preserve">
Validity period
    </t>
  </si>
  <si>
    <t>Document  Emission Date Time</t>
  </si>
  <si>
    <t xml:space="preserve">
The date (and time) on which the document was emitted or sent/discharged.
    </t>
  </si>
  <si>
    <t>Document  File Of Documents</t>
  </si>
  <si>
    <t xml:space="preserve">
This represents a file that may include one or more documents.
    </t>
  </si>
  <si>
    <t>Document  Free Content Indicator</t>
  </si>
  <si>
    <t xml:space="preserve">
This indicates the document is a free content document.
    </t>
  </si>
  <si>
    <t>Document  Identifier</t>
  </si>
  <si>
    <t xml:space="preserve">
An identifier assigned to a document to uniquely identify it (e.g. police report number, fire department report number, etc.).
    </t>
  </si>
  <si>
    <t>Document  Included Document</t>
  </si>
  <si>
    <t xml:space="preserve">
This represents a document included in a file of documents.
    </t>
  </si>
  <si>
    <t>Document  Language Code</t>
  </si>
  <si>
    <t xml:space="preserve">
A code representing the language used in this document (see ISO 639).
    </t>
  </si>
  <si>
    <t>Document  Modifiable Indicator</t>
  </si>
  <si>
    <t xml:space="preserve">
Define if the document is modifiable or not
    </t>
  </si>
  <si>
    <t>Document  Name</t>
  </si>
  <si>
    <t xml:space="preserve">
It is possible to give a name to a document. This name can be used to give a short description of the document. Example: Mr Smith's passport
    </t>
  </si>
  <si>
    <t>Document  Reception Date Time</t>
  </si>
  <si>
    <t xml:space="preserve">
The date (and time) on which the document was received.
    </t>
  </si>
  <si>
    <t>Document  Replaced Document</t>
  </si>
  <si>
    <t xml:space="preserve">
This represents the document being replaced by another document.
    </t>
  </si>
  <si>
    <t>Document  Signature Required Indicator</t>
  </si>
  <si>
    <t xml:space="preserve">
Define if yes or no the signature is required
    </t>
  </si>
  <si>
    <t>Document  Signed Indicator</t>
  </si>
  <si>
    <t xml:space="preserve">
Define if the document has been signed
    </t>
  </si>
  <si>
    <t>Document  Storage Location</t>
  </si>
  <si>
    <t xml:space="preserve">
Define where the user stocked the letters (ex: paper letter stored in  the file, email in the data processing)
    </t>
  </si>
  <si>
    <t>Document  Type Code</t>
  </si>
  <si>
    <t xml:space="preserve">
Defines the type or the nature of a document in simple cases. See also the DocumentCategory to handle specific issues.
    </t>
  </si>
  <si>
    <t>Document  Version Identifier</t>
  </si>
  <si>
    <t xml:space="preserve">
Defines the document version number.
    </t>
  </si>
  <si>
    <t>Document Category</t>
  </si>
  <si>
    <t xml:space="preserve">
This concept specifies a category of document (ex: General conditions)
    </t>
  </si>
  <si>
    <t>Document Request</t>
  </si>
  <si>
    <t xml:space="preserve">
This concept represents a formal business activity requesting a specific document.
    </t>
  </si>
  <si>
    <t>Document Request  Count</t>
  </si>
  <si>
    <t xml:space="preserve">
Within a document request, indicates the count for the document requested.
e.g. The requester seeks 3 instances/copies of the document.
    </t>
  </si>
  <si>
    <t>Document Request  First Reminder Date Time</t>
  </si>
  <si>
    <t xml:space="preserve">
It is the date (and time) of the First Reminder.
    </t>
  </si>
  <si>
    <t>Document Request  Mandatory Document Indicator</t>
  </si>
  <si>
    <t xml:space="preserve">
This attribute indicates if the document is mandatory or not.
    </t>
  </si>
  <si>
    <t>Document Request  Media Code</t>
  </si>
  <si>
    <t xml:space="preserve">
Indicates the nature of the media by which the document request was executed.
    </t>
  </si>
  <si>
    <t>Document Request  Purpose</t>
  </si>
  <si>
    <t xml:space="preserve">
This attribute is the purpose of the (Document). 
It describes why the document is needed.
    </t>
  </si>
  <si>
    <t>Document Request  Request Date Time</t>
  </si>
  <si>
    <t xml:space="preserve">
The date (and time) of the communication of the document request.
    </t>
  </si>
  <si>
    <t>Document Request  Requested Document</t>
  </si>
  <si>
    <t xml:space="preserve">
This represents the document requested by a document request.
    </t>
  </si>
  <si>
    <t>Document Request  Second Reminder Date Time</t>
  </si>
  <si>
    <t xml:space="preserve">
It is the date (and time) of the Second Reminder.
    </t>
  </si>
  <si>
    <t>Document Request  Submitted To</t>
  </si>
  <si>
    <t xml:space="preserve">
States the person the DocumentRequest was submitted to.
If needed, the Party to whom the DocumentRequest is to be sent can be identified with the relationship between DocumentRequest and Party.
    </t>
  </si>
  <si>
    <t>Document Request Status</t>
  </si>
  <si>
    <t xml:space="preserve">
This represents the status of a document request.
    </t>
  </si>
  <si>
    <t>Document Request Status  Code</t>
  </si>
  <si>
    <t xml:space="preserve">
Indicates the status of the document request.
    </t>
  </si>
  <si>
    <t>DOL</t>
  </si>
  <si>
    <t xml:space="preserve">
Department of Labor (DOL)
    </t>
  </si>
  <si>
    <t>Dollar Cost Averaging</t>
  </si>
  <si>
    <t xml:space="preserve">
In an annuity product, a systematic investment plan which allows investment of a fixed amount of money at fixed intervals.
    </t>
  </si>
  <si>
    <t>Domestic Locations Count</t>
  </si>
  <si>
    <t xml:space="preserve">
See Business Domestic Location Count.
    </t>
  </si>
  <si>
    <t>Driver</t>
  </si>
  <si>
    <t xml:space="preserve">
This concept describes a set of information needed to define the profile of a driver as related to an agreement (e.g. driver on a personal automobile insurance policy).
    </t>
  </si>
  <si>
    <t>Driver  Current Vehicle Insurance Reduction Rate</t>
  </si>
  <si>
    <t xml:space="preserve">
The reduction rate (if any) applied to the driver's current vehicle insurance.
    </t>
  </si>
  <si>
    <t>Driver  Insured Duration</t>
  </si>
  <si>
    <t xml:space="preserve">
The duration of time during which the driver has been insured.
    </t>
  </si>
  <si>
    <t>Driver License</t>
  </si>
  <si>
    <t xml:space="preserve">
This concept defines the characteristics of a Driving License of a person.
    </t>
  </si>
  <si>
    <t>Driver License  Driving Points Count</t>
  </si>
  <si>
    <t xml:space="preserve">
The total driving points attributed to the driver by the driving license authority. The points count are decreased (or increased) as the driver gets convicted or fined for driving violations.
    </t>
  </si>
  <si>
    <t>Driver License  Restrictions Code</t>
  </si>
  <si>
    <t xml:space="preserve">
Any driving restrictions applying to the driving license. 
e.g: Corrective lenses 
e.g: Miscellaneous restriction 
e.g: No driving on weekend 
e.g: No passengers. 
e.g: Temporary license
    </t>
  </si>
  <si>
    <t>Driver License Classification</t>
  </si>
  <si>
    <t xml:space="preserve">
This concept represents the classification of a driver license as related to authorization granted for various types of vehicles and the like.
    </t>
  </si>
  <si>
    <t>Driver License Classification  Commercial Endorsement</t>
  </si>
  <si>
    <t xml:space="preserve">
The classification of certain types of vehicles and/or cargo being transported for which driving authority has been granted by the driving license.
Example:
USA: M (Metal coil)
    </t>
  </si>
  <si>
    <t>Driver License Classification  Vehicle Class Code</t>
  </si>
  <si>
    <t xml:space="preserve">
The kind of road vehicle that may be driven with the driving license. 
e.g: A (Motorcycles) 
e.g: B (Cars and light trucks) 
e.g: C (B plus Vehicles carrying 16 or more passengers) 
e.g: D (B plus Heavy trucks with trailers)
    </t>
  </si>
  <si>
    <t>Driver License Classification  Vehicle Sub Class</t>
  </si>
  <si>
    <t xml:space="preserve">
A further refinement of the classification of a driving license.
Examples:
Alberta, Canada: Learner's Permit (Class 7)
USA: Class A - Combination (tractor plus trailer) vehicle of 26,000 lb (11,790 kg) or more. Includes split (coupled) buses.
    </t>
  </si>
  <si>
    <t>Driver Rating</t>
  </si>
  <si>
    <t xml:space="preserve">
This component contains information specific to how the subject of insurance is rated when the subject is a driver.
    </t>
  </si>
  <si>
    <t>Driver Rating  Driving Record Rating Code</t>
  </si>
  <si>
    <t xml:space="preserve">
An industry code list that reflects the rating of the applicable driving record. The source of this list is individual insurer rating manuals.
    </t>
  </si>
  <si>
    <t>Driver Rating  Good Driver Indicator</t>
  </si>
  <si>
    <t xml:space="preserve">
Indicates whether the driver qualifies for a Good Driver Discount.
    </t>
  </si>
  <si>
    <t>Driver Rating  Good Student Indicator</t>
  </si>
  <si>
    <t xml:space="preserve">
Indicates whether the driver qualifies for a Good Student Discount.
    </t>
  </si>
  <si>
    <t>Driver Rating  Mature Driver Indicator</t>
  </si>
  <si>
    <t xml:space="preserve">
Indicates whether the driver qualifies for a Mature Driver Discount.
    </t>
  </si>
  <si>
    <t>Driver Rating  Principal Indicator</t>
  </si>
  <si>
    <t xml:space="preserve">
Indicates that the driver is being rated as the principal operator for this unit (vehicle, watercraft, etc.).
    </t>
  </si>
  <si>
    <t>Driver Training Credit</t>
  </si>
  <si>
    <t xml:space="preserve">
A type of credit surcharge that reflects the completion of a driver training course.
    </t>
  </si>
  <si>
    <t>Driving Event</t>
  </si>
  <si>
    <t xml:space="preserve">
This concept represents a driving event or incident (e.g. driving violation, accident).
    </t>
  </si>
  <si>
    <t>Driving Event  Type Code</t>
  </si>
  <si>
    <t xml:space="preserve">
A code indicating the type of driving incident that occurred.
e.g. at fault accident, speeding, failure to yield, driving while impaired, hit and run, etc.
    </t>
  </si>
  <si>
    <t>Driving Experience</t>
  </si>
  <si>
    <t xml:space="preserve">
This concept provides person details involving the operation of a land vehicle (e.g. automobile, car, truck, motorcycle, etc.).
    </t>
  </si>
  <si>
    <t>Driving Experience  Annual Distance Driven</t>
  </si>
  <si>
    <t xml:space="preserve">
This represents the estimated annual distance driven (e.g. the distance during which the person is driving a land vehicle). This distance is typically represented in kilometers or miles.
    </t>
  </si>
  <si>
    <t>Driving Experience  Public Transit Indicator</t>
  </si>
  <si>
    <t xml:space="preserve">
An indicator the person supplements driving a land vehicle by using public transportation on a regular basis.
    </t>
  </si>
  <si>
    <t>Driving Experience  Special Equipment Description</t>
  </si>
  <si>
    <t xml:space="preserve">
A description of any special equipment needed by the person operating a land vehicle (e.g. hand brake).
    </t>
  </si>
  <si>
    <t>Drug</t>
  </si>
  <si>
    <t xml:space="preserve">
A substance used in the diagnosis, treatment, or prevention of a disease or as a component of a medication.
    </t>
  </si>
  <si>
    <t>Drug  Prescription Only Indicator</t>
  </si>
  <si>
    <t xml:space="preserve">
Indicates whether, by law, the drug cannot be dispensed without a prescription.
    </t>
  </si>
  <si>
    <t>Drug Equivalence</t>
  </si>
  <si>
    <t xml:space="preserve">
The identification of a drug being equivalent to another drug.  This identification is used for generics being used in place of name brands.
USAGE NOTE: When describing a scenario, the equivalence code describes the "from" DrugSpecification in relation to the "to" DrugSpecification.
In other words, the three attributes essentially complete the following sentence:
fromDrugSpecification equivalenceTypeCode toDrugSpecification
e.g. Brand-A Generic Equivalent Brand-B
    </t>
  </si>
  <si>
    <t>Drug Equivalence  Equivalence Type Code</t>
  </si>
  <si>
    <t xml:space="preserve">
Indicates the nature of a drug equivalence.
    </t>
  </si>
  <si>
    <t>Drug Equivalence  From Drug Specification</t>
  </si>
  <si>
    <t xml:space="preserve">
This represents the drug specification "from" which a relationship is being established via drug equivalence.
    </t>
  </si>
  <si>
    <t>Drug Equivalence  To Drug Specification</t>
  </si>
  <si>
    <t xml:space="preserve">
This represents the drug specification "to" which a relationship is being established via drug equivalence.
    </t>
  </si>
  <si>
    <t>Drug Registration</t>
  </si>
  <si>
    <t xml:space="preserve">
A recording by the official health care authorities of drug identifying information.
    </t>
  </si>
  <si>
    <t>Drug Specification</t>
  </si>
  <si>
    <t xml:space="preserve">
This represents the specification of the characteristics of a drug.
    </t>
  </si>
  <si>
    <t>Drug Use</t>
  </si>
  <si>
    <t xml:space="preserve">
This concept accounts for drug use (if any) for a person.
    </t>
  </si>
  <si>
    <t>Drug Use  Drug Category Code</t>
  </si>
  <si>
    <t xml:space="preserve">
A code indicating a type of drug consumed.
    </t>
  </si>
  <si>
    <t>DSS</t>
  </si>
  <si>
    <t xml:space="preserve">
Digital Satellite Service (DSS)
    </t>
  </si>
  <si>
    <t>DTCC</t>
  </si>
  <si>
    <t xml:space="preserve">
Depository Trust &amp; Clearing Corporation (DTCC)
    </t>
  </si>
  <si>
    <t>DTI</t>
  </si>
  <si>
    <t xml:space="preserve">
Department of Trade and Industry (DTI)
    </t>
  </si>
  <si>
    <t>Dune Buggy</t>
  </si>
  <si>
    <t xml:space="preserve">
A dune buggy is a recreational vehicle with large wheels, and wide tires, designed for use on sand dunes, beaches, or desert recreation. It is called a "Beach Buggy" in the United Kingdom, Ireland and many other English speaking countries.
    </t>
  </si>
  <si>
    <t>Dune Buggy Specification</t>
  </si>
  <si>
    <t xml:space="preserve">
This represents the specification of the characteristics of a dune buggy.
    </t>
  </si>
  <si>
    <t>Dunning Activity</t>
  </si>
  <si>
    <t xml:space="preserve">
This concept provides a follow up of dunning processes on the related contract.
If an open item becomes due for dunning, the system should execute the dunning activity/activities relevant to this item. Dunning activities include:
-Information for the user department
-Reminder letters
-Dunning letters to the account holder
-Cancellation letters
-Notification to the supporting agent
-Messages to the authorities (specifically for auto liability)
-Confirmations to policy management (contract reversal, for example)
-Assignment of a dunning charge to the insurance object to be dunned
    </t>
  </si>
  <si>
    <t>Dunning Activity  Days In Arrears Count</t>
  </si>
  <si>
    <t xml:space="preserve">
Describes the number of days in arrears that have to have passed since the due date for a receivable, before it can be dunned.
    </t>
  </si>
  <si>
    <t>Dunning Activity  Facultative Level</t>
  </si>
  <si>
    <t xml:space="preserve">
Dunning levels marked as "facultative" can be skipped, if the days in arrears count is reached. This means that it is possible to skip the reminder letter (dunning level 1) for a dunning notice, and execute the qualified dunning notice (dunning level 2) straight away instead.
    </t>
  </si>
  <si>
    <t>Dunning Activity  Last Dunning Notice Duration</t>
  </si>
  <si>
    <t xml:space="preserve">
Describes the measurement of time that have passed since the last dunning notice.
    </t>
  </si>
  <si>
    <t>Dunning Activity  Level</t>
  </si>
  <si>
    <t xml:space="preserve">
The dunning levels are determined on the basis of the last entries in the dunning history. If an item, which has already been dunned, has exceeded the days in arrears since the due date, the subsequent dunning level is assigned to it. If the days in arrears since the due date, the subsequent dunning level is assigned to it. If the days in arrears have not yet been exceeded, the item takes the current dunning level.
    </t>
  </si>
  <si>
    <t>DUNS</t>
  </si>
  <si>
    <t xml:space="preserve">
Data Universal Numbering System (DUNS)
    </t>
  </si>
  <si>
    <t>Duplicate Coverage</t>
  </si>
  <si>
    <t xml:space="preserve">
Indicates that the claimed losses are covered by more than one insurance contract.
    </t>
  </si>
  <si>
    <t>Dust Storm</t>
  </si>
  <si>
    <t xml:space="preserve">
A dust storm or sand storm is a meteorological phenomenon common in arid and semi-arid regions.
    </t>
  </si>
  <si>
    <t>DVD</t>
  </si>
  <si>
    <t xml:space="preserve">
Digital Versatile Disc (DVD)
    </t>
  </si>
  <si>
    <t>DVM</t>
  </si>
  <si>
    <t xml:space="preserve">
Doctor of Veterinary Medicine (DVM)
    </t>
  </si>
  <si>
    <t>Dwelling</t>
  </si>
  <si>
    <t xml:space="preserve">
This concept gives particular features of a dwelling. A dwelling can be further described by a dwelling description (DwellingDetail) and completely described by specifying each of its composing elements: rooms, cellars, garages, etc.
    </t>
  </si>
  <si>
    <t>Dwelling  Furnished Indicator</t>
  </si>
  <si>
    <t xml:space="preserve">
An indicator the premises is furnished.
    </t>
  </si>
  <si>
    <t>Dwelling  Living Space Area</t>
  </si>
  <si>
    <t xml:space="preserve">
This represents the dimension of the living space area (e.g. 1000 square feet, 20 square meters, etc.).
    </t>
  </si>
  <si>
    <t>Dwelling  Type Code</t>
  </si>
  <si>
    <t xml:space="preserve">
It identifies the style of the dwelling.
    </t>
  </si>
  <si>
    <t>Dwelling Design Style</t>
  </si>
  <si>
    <t xml:space="preserve">
Is a subset characteristic of a building design style which is applicable to a residence. Examples include: colonial, ranch, cape code, etc.
    </t>
  </si>
  <si>
    <t>DWT</t>
  </si>
  <si>
    <t xml:space="preserve">
DeadWeight Tonnage (DWT)
    </t>
  </si>
  <si>
    <t>Dynamic Text Block</t>
  </si>
  <si>
    <t xml:space="preserve">
A mechanism for including variable information in specified content.
    </t>
  </si>
  <si>
    <t>Dynamic Text Block  Variable Expression</t>
  </si>
  <si>
    <t xml:space="preserve">
A formal description identifying the variable information part of this dynamic text block and how it is resolved.
    </t>
  </si>
  <si>
    <t>Earned Premium</t>
  </si>
  <si>
    <t xml:space="preserve">
The portion of a premium that represents coverage already provided, based on the part of the contract period that the insurance has been in effect.
    </t>
  </si>
  <si>
    <t>Earthquake</t>
  </si>
  <si>
    <t xml:space="preserve">
A natural event, an earthquake (also known as a quake, tremor, or temblor) is the result of a sudden release of energy in the Earth's crust that creates seismic waves.
    </t>
  </si>
  <si>
    <t>Earthquake  Richter Scale Value</t>
  </si>
  <si>
    <t xml:space="preserve">
The Richter magnitude scale, also known as the local magnitude (ML) scale, assigns a single number to quantify the amount of seismic energy released by an earthquake.
    </t>
  </si>
  <si>
    <t>Earthquake Building Class</t>
  </si>
  <si>
    <t xml:space="preserve">
A classification specifying the degree of rigidity and flexibility to withstand seismic waves based on building material, floor/roof material, area and number of stories as it relates to earthquake and earthquake sprinkler leakage coverage.
    </t>
  </si>
  <si>
    <t>Earthquake Building Ground Condition</t>
  </si>
  <si>
    <t xml:space="preserve">
A description specifying the existing circumstances (conditions) of the ground on which the structure is located.
    </t>
  </si>
  <si>
    <t>Earthquake Retrofit Condition</t>
  </si>
  <si>
    <t xml:space="preserve">
Indicates what type of modifications have been made to a completed structure as it relates to earthquake damageability. Examples include: cripple walls braced, anchor to foundation, etc.
    </t>
  </si>
  <si>
    <t>Earthquake Retrofitting</t>
  </si>
  <si>
    <t xml:space="preserve">
This represents various aspects of the earthquake retrofitting of a structure.
Earthquake (seismic) retrofitting is the modification of existing structures to make them more resistant to seismic activity, ground motion, or soil failure due to earthquakes.
    </t>
  </si>
  <si>
    <t>Earthquake Retrofitting  Type Code</t>
  </si>
  <si>
    <t xml:space="preserve">
This code represents the type of retrofitting completed on the structure, as it relates to earthquakes.
    </t>
  </si>
  <si>
    <t>EBIT</t>
  </si>
  <si>
    <t xml:space="preserve">
Earnings Before Income and Tax (EBIT)
    </t>
  </si>
  <si>
    <t>EBITDA</t>
  </si>
  <si>
    <t xml:space="preserve">
Earnings Before Interest, Tax, Depreciation &amp; Amortization (EBITDA)
    </t>
  </si>
  <si>
    <t>EBT</t>
  </si>
  <si>
    <t xml:space="preserve">
Earning Before Tax (EBT)
    </t>
  </si>
  <si>
    <t>ECG</t>
  </si>
  <si>
    <t xml:space="preserve">
Electro Cardio Gram (ECG)
    </t>
  </si>
  <si>
    <t>Economic Risk Exposure</t>
  </si>
  <si>
    <t xml:space="preserve">
A risk exposure arising from the ability of a project's output to make a return which covers the investment made in that project.
    </t>
  </si>
  <si>
    <t>Economic Risk Factor Score</t>
  </si>
  <si>
    <t xml:space="preserve">
The rating of characteristics that have an impact on the likelihood of loss to occur. 
The rating of factors that contribute to economic risk.
    </t>
  </si>
  <si>
    <t>Economic Risk Position</t>
  </si>
  <si>
    <t xml:space="preserve">
The estimate of the possible loss for an economic risk exposure.
    </t>
  </si>
  <si>
    <t>EDI</t>
  </si>
  <si>
    <t xml:space="preserve">
Electronic Data Interchange (EDI)
    </t>
  </si>
  <si>
    <t>EDP</t>
  </si>
  <si>
    <t xml:space="preserve">
Electronic Data Processing (EDP)
    </t>
  </si>
  <si>
    <t>Education</t>
  </si>
  <si>
    <t xml:space="preserve">
This concept defines details about a person's education.
    </t>
  </si>
  <si>
    <t>Education  Designation Code</t>
  </si>
  <si>
    <t xml:space="preserve">
A code identifying a professional designation.
    </t>
  </si>
  <si>
    <t>Education  Full Time Student Indicator</t>
  </si>
  <si>
    <t xml:space="preserve">
Indicates the person is a full-time student (as contrasted with a part-time student).
    </t>
  </si>
  <si>
    <t>Education  Supporting Education Certificate</t>
  </si>
  <si>
    <t xml:space="preserve">
This represents an education certificate as a record of information about an individual's professional, academic, or other qualifications (e.g. Chris Doe's Degree certificate B. S. Actuarial Science).
    </t>
  </si>
  <si>
    <t>Education Certificate</t>
  </si>
  <si>
    <t xml:space="preserve">
A record of information about an individual's professional, academic, or other qualifications.
e.g: Jane Doe's Degree certificate B. S. Actuarial Science.
    </t>
  </si>
  <si>
    <t>Education Certificate  Grade Code</t>
  </si>
  <si>
    <t xml:space="preserve">
The rating awarded for the education certificate. 
e.g: 3.7 
e.g: B 
e.g: honors 
e.g: magna cum laude 
e.g: Black Belt 
e.g: Brown Belt 
e.g: Fail 
e.g: Pass 
e.g: Senior
    </t>
  </si>
  <si>
    <t>Education Certificate  Level Code</t>
  </si>
  <si>
    <t xml:space="preserve">
The academic level of the education certificate. 
e.g: Professional certification
    </t>
  </si>
  <si>
    <t>Education Certificate  Name</t>
  </si>
  <si>
    <t xml:space="preserve">
The formal name of the education certificate. 
e.g: Degree in Information Technology
    </t>
  </si>
  <si>
    <t>Education Certificate  Subject Area Code</t>
  </si>
  <si>
    <t xml:space="preserve">
The subject area, skill, or area of expertise for the education certificate. 
e.g: Accountancy 
e.g: Actuarial 
e.g: Information Technology 
e.g: Insurance
    </t>
  </si>
  <si>
    <t>Education Certificate  Title Code</t>
  </si>
  <si>
    <t xml:space="preserve">
The abbreviation of the qualification name, typically used as a suffix to a person's name.
e.g: BSc
e.g: CLU
e.g: Ph.D.
    </t>
  </si>
  <si>
    <t>Education Level Code</t>
  </si>
  <si>
    <t xml:space="preserve">
The highest level of degree obtained by the person. 
e.g: Associate, Masters
    </t>
  </si>
  <si>
    <t xml:space="preserve">
Employee Elective (EE)
    </t>
  </si>
  <si>
    <t>eEg7</t>
  </si>
  <si>
    <t xml:space="preserve">
eBusiness Standards for the European Insurance Industry (eEg7)
    </t>
  </si>
  <si>
    <t>EEOC</t>
  </si>
  <si>
    <t xml:space="preserve">
Equal Employment Opportunity Commission (EEOC)
    </t>
  </si>
  <si>
    <t>EFT</t>
  </si>
  <si>
    <t xml:space="preserve">
Electronic Funds Transfer (EFT)
    </t>
  </si>
  <si>
    <t>EIFS</t>
  </si>
  <si>
    <t xml:space="preserve">
Exterior Insulation Finishing System (EIFS)
    </t>
  </si>
  <si>
    <t>EIOPA</t>
  </si>
  <si>
    <t xml:space="preserve">
European Insurance and Occupational Pensions Authority (EIOPA)
    </t>
  </si>
  <si>
    <t>EKG</t>
  </si>
  <si>
    <t xml:space="preserve">
Electrocardiogram (EKG)
    </t>
  </si>
  <si>
    <t>Electric Motor</t>
  </si>
  <si>
    <t xml:space="preserve">
An electric motor is an electric machine that converts electrical energy into mechanical energy.
    </t>
  </si>
  <si>
    <t>Electric Motor Specification</t>
  </si>
  <si>
    <t xml:space="preserve">
This represents the specification of the characteristics of an electric motor.
    </t>
  </si>
  <si>
    <t>Electrical</t>
  </si>
  <si>
    <t xml:space="preserve">
This represents various aspects of the electrical of a structure.
    </t>
  </si>
  <si>
    <t>Electrical  Capacity</t>
  </si>
  <si>
    <t xml:space="preserve">
This represents the electrical capacity (e.g. electrical strength) of the wiring (e.g. 60 amperes (amps)).
    </t>
  </si>
  <si>
    <t>Electrical  Panel Code</t>
  </si>
  <si>
    <t xml:space="preserve">
A code indicating the type of electrical panel(s) associated with the structure.
    </t>
  </si>
  <si>
    <t>Electronic Contact</t>
  </si>
  <si>
    <t xml:space="preserve">
This abstract super-type contains attributes relevant to electronic contacts such as texting, messaging, or email.
    </t>
  </si>
  <si>
    <t>Elimination Period</t>
  </si>
  <si>
    <t xml:space="preserve">
See Waiting Period.
    </t>
  </si>
  <si>
    <t>Email Contact</t>
  </si>
  <si>
    <t xml:space="preserve">
This concept represents an email address as a means of contact.
    </t>
  </si>
  <si>
    <t>EMEA</t>
  </si>
  <si>
    <t xml:space="preserve">
Europe, Middle East, and Africa (EMEA)
    </t>
  </si>
  <si>
    <t>Employee</t>
  </si>
  <si>
    <t xml:space="preserve">
The role played by the person who is employed in an employment agreement by an employer (even if the employment agreement itself is not instantiated). An employee is not considered a contractor.
e.g: John Doe, as the employee of a company under an employment agreement starting 06/11/95
    </t>
  </si>
  <si>
    <t>Employee  Employment</t>
  </si>
  <si>
    <t xml:space="preserve">
This represents the employment relationship in which the employee participates.
    </t>
  </si>
  <si>
    <t>Employee Summary</t>
  </si>
  <si>
    <t xml:space="preserve">
This concept summarizes employee details.
    </t>
  </si>
  <si>
    <t>Employee Summary  Average Employee Age</t>
  </si>
  <si>
    <t xml:space="preserve">
Average age of the organization staff for the reference period.
    </t>
  </si>
  <si>
    <t>Employee Summary  Average Employee Count</t>
  </si>
  <si>
    <t xml:space="preserve">
The average number of persons employed by the organization for the reference period.
    </t>
  </si>
  <si>
    <t>Employee Summary  Employee Turnover Percentage</t>
  </si>
  <si>
    <t xml:space="preserve">
The frequency with which employees resign, are fired or retired from a company, usually computed as the percentage of a company's employees for the reference period.
    </t>
  </si>
  <si>
    <t>Employee Summary  Employment Type Code</t>
  </si>
  <si>
    <t xml:space="preserve">
This represents the applicable type of employee employment with regards to employee summaries (e.g. full time, part time, etc.).
    </t>
  </si>
  <si>
    <t>Employee Summary  Female Staff Percentage</t>
  </si>
  <si>
    <t xml:space="preserve">
Percentage of woman staff of the organization for the reference period.
    </t>
  </si>
  <si>
    <t>Employee Summary  Male Staff Percentage</t>
  </si>
  <si>
    <t xml:space="preserve">
Percentage of men staff of the organization for the reference period.
    </t>
  </si>
  <si>
    <t>Employee Summary  Total Wages Paid Amount</t>
  </si>
  <si>
    <t xml:space="preserve">
The total wages paid for the given reference period.
    </t>
  </si>
  <si>
    <t>Employee Total Year-End Count</t>
  </si>
  <si>
    <t xml:space="preserve">
The total number of employees of a business as of the fiscal year end date.
    </t>
  </si>
  <si>
    <t>Employer</t>
  </si>
  <si>
    <t xml:space="preserve">
An employer is a party role where the party (e.g. organization or person) is utilizing the skills or services of an employee or contractor usually for some form of compensation.
    </t>
  </si>
  <si>
    <t>Employer  Employment</t>
  </si>
  <si>
    <t xml:space="preserve">
This represents the employment relationship in which the employer participates.
    </t>
  </si>
  <si>
    <t>Employment Agreement</t>
  </si>
  <si>
    <t xml:space="preserve">
A mutual understanding between an employer and an employee, each committing themselves to fulfill one or more obligations. This includes the work performed by the employee in exchange for the salary received from the employer. 
e.g: Employment agreement between Acme Insurance company and John Smith.
    </t>
  </si>
  <si>
    <t>Employment Category</t>
  </si>
  <si>
    <t xml:space="preserve">
This concept specifies an employment category.
    </t>
  </si>
  <si>
    <t>Employment Relationship</t>
  </si>
  <si>
    <t xml:space="preserve">
This concept defines the business relationship between an employee and his/her employer.
    </t>
  </si>
  <si>
    <t>Employment Relationship  Annual Taxable Benefit Amount</t>
  </si>
  <si>
    <t xml:space="preserve">
The total taxable monetary amount that the employee receives annually in the context of his employment agreement.
    </t>
  </si>
  <si>
    <t>Employment Relationship  Base Salary Amount</t>
  </si>
  <si>
    <t xml:space="preserve">
The fixed salary an employee receives in the context of his employment agreement.
    </t>
  </si>
  <si>
    <t>Employment Relationship  Bonus Salary Amount</t>
  </si>
  <si>
    <t xml:space="preserve">
The bonus salary an employee receives over and above the base salary in the context of his employment agreement.
    </t>
  </si>
  <si>
    <t>Employment Relationship  Business Unit</t>
  </si>
  <si>
    <t xml:space="preserve">
Business Unit of the employee
    </t>
  </si>
  <si>
    <t>Employment Relationship  Current Indicator</t>
  </si>
  <si>
    <t xml:space="preserve">
An indicator this is the current employment.
    </t>
  </si>
  <si>
    <t>Employment Relationship  Employee</t>
  </si>
  <si>
    <t xml:space="preserve">
This represents the employee in an employment relationship.
    </t>
  </si>
  <si>
    <t>Employment Relationship  Employer</t>
  </si>
  <si>
    <t xml:space="preserve">
This represents the employer in an employment relationship.
    </t>
  </si>
  <si>
    <t>Employment Relationship  Employment End Nature Code</t>
  </si>
  <si>
    <t xml:space="preserve">
A code indicating the nature of the ending of a given employment.
    </t>
  </si>
  <si>
    <t>Employment Relationship  Exempt Indicator</t>
  </si>
  <si>
    <t xml:space="preserve">
Indicates whether the employee is exempt or non-exempt.
    </t>
  </si>
  <si>
    <t>Employment Relationship  Identifier</t>
  </si>
  <si>
    <t xml:space="preserve">
This represents the identifier (also known as employee ID) assigned to an employee for identification purposes, typically assigned by the employee's employer.
    </t>
  </si>
  <si>
    <t>Employment Relationship  Job Description</t>
  </si>
  <si>
    <t xml:space="preserve">
Job description of the employee (claims handler, sales, underwriter, etc.).
    </t>
  </si>
  <si>
    <t>Employment Relationship  Job Title Code</t>
  </si>
  <si>
    <t xml:space="preserve">
The job title of the position held by the employee. 
e.g: Chief Executive Officer 
e.g: Clerk 
e.g: Managing Director 
e.g: Marketing Manager
    </t>
  </si>
  <si>
    <t>Employment Relationship  Location</t>
  </si>
  <si>
    <t xml:space="preserve">
Main location of the employee (headquarter, agency, etc.)
    </t>
  </si>
  <si>
    <t>Employment Relationship  Occupation Class Code</t>
  </si>
  <si>
    <t xml:space="preserve">
This represents an employee's occupation.
    </t>
  </si>
  <si>
    <t>Employment Relationship  Pensionable Indicator</t>
  </si>
  <si>
    <t xml:space="preserve">
Indicates whether the employee has a job that gives him rights to a pension.
    </t>
  </si>
  <si>
    <t>Employment Relationship  Resulting Income</t>
  </si>
  <si>
    <t xml:space="preserve">
This represents employee income resulting from employment.
    </t>
  </si>
  <si>
    <t>Employment Relationship  Salary Grade Code</t>
  </si>
  <si>
    <t xml:space="preserve">
Indicates the salary or wage level of an employee.
    </t>
  </si>
  <si>
    <t>Employment Relationship  Skill Level Code</t>
  </si>
  <si>
    <t xml:space="preserve">
The overall skill level of the employee. 
e.g: Professional 
e.g: Semi-skilled 
e.g: Skilled 
e.g: Unskilled
    </t>
  </si>
  <si>
    <t>Endorsement</t>
  </si>
  <si>
    <t xml:space="preserve">
A written agreement that adds to or amends the provisions of the contract.
    </t>
  </si>
  <si>
    <t>Endowment Insurance</t>
  </si>
  <si>
    <t xml:space="preserve">
A type of life insurance under which an insured receives the face value of a contract if the individual survives the endowment period.
    </t>
  </si>
  <si>
    <t xml:space="preserve">
An engine or motor is a machine designed to convert energy into useful mechanical motion.
An engine may be utilized (optionally) for the motorization of a vehicle. Motorized vehicles may contain one or more engines.
    </t>
  </si>
  <si>
    <t>Engine Repair</t>
  </si>
  <si>
    <t xml:space="preserve">
This concept represents an engine repair mission performed by a repairman  within a claim.
    </t>
  </si>
  <si>
    <t>Engine Repair  Repair Service Provider</t>
  </si>
  <si>
    <t xml:space="preserve">
This represents the repair service provider for engine repairs.
    </t>
  </si>
  <si>
    <t>Engine Specification</t>
  </si>
  <si>
    <t xml:space="preserve">
This represents the specification for an engine, which may (optionally) be utilized for the motorization of a vehicle.
    </t>
  </si>
  <si>
    <t>Engine Specification  Fuel Injection Type Code</t>
  </si>
  <si>
    <t xml:space="preserve">
The technique used to inject fuel into the engine of the vehicle.
    </t>
  </si>
  <si>
    <t>Engine Specification  Fuel Type Code</t>
  </si>
  <si>
    <t xml:space="preserve">
It indicates the type of fuel used.
    </t>
  </si>
  <si>
    <t>Engine Specification  Horsepower Measurement</t>
  </si>
  <si>
    <t xml:space="preserve">
Indicates the stated horsepower of the specified engine model.
    </t>
  </si>
  <si>
    <t>Engine Specification  Ignition Code</t>
  </si>
  <si>
    <t xml:space="preserve">
The technique used to ignite the fuel in the vehicle's engine.
    </t>
  </si>
  <si>
    <t>Entitled Beneficiary</t>
  </si>
  <si>
    <t xml:space="preserve">
A person who has a relationship to the insured and as such is entitled to the benefits. Examples of relationships include: family, legal, employer.
    </t>
  </si>
  <si>
    <t>Equity Risk Agreement</t>
  </si>
  <si>
    <t xml:space="preserve">
A risk agreement concerned with equity risk management.
    </t>
  </si>
  <si>
    <t>Equity Risk Exposure</t>
  </si>
  <si>
    <t xml:space="preserve">
A risk exposure arising from volatility of equity prices.
    </t>
  </si>
  <si>
    <t>Equity Risk Factor Score</t>
  </si>
  <si>
    <t xml:space="preserve">
The rating of characteristics that have an impact on the likelihood of loss to occur. 
The rating of factors that contribute to equity risk.
    </t>
  </si>
  <si>
    <t>Equity Risk Factor Score  Assessed Financial Asset</t>
  </si>
  <si>
    <t xml:space="preserve">
This represents the financial asset assessed by am equity risk factor score.
    </t>
  </si>
  <si>
    <t>Equity Risk Position</t>
  </si>
  <si>
    <t xml:space="preserve">
The estimate of the possible loss for an equity risk exposure.
    </t>
  </si>
  <si>
    <t>Equity Shareholder</t>
  </si>
  <si>
    <t xml:space="preserve">
This applies to US accounting practices. A person or organization that holds share equity (of at least 5%) in a listed company.
    </t>
  </si>
  <si>
    <t>ERISA</t>
  </si>
  <si>
    <t xml:space="preserve">
Employee Retirement Income Security Act (ERISA)
    </t>
  </si>
  <si>
    <t>ESOP</t>
  </si>
  <si>
    <t xml:space="preserve">
Employee Stock Ownership Plan (ESOP)
    </t>
  </si>
  <si>
    <t>ESRA</t>
  </si>
  <si>
    <t xml:space="preserve">
Electronic Signatures Records Association (ESRA)
    </t>
  </si>
  <si>
    <t>Estimate Type</t>
  </si>
  <si>
    <t xml:space="preserve">
The kind of estimate being provided (i.e. the initial or revised estimated cost or duration.)
    </t>
  </si>
  <si>
    <t>Estimated Incurred Expense</t>
  </si>
  <si>
    <t xml:space="preserve">
The estimated total amount of a claim allocated to expenses.
    </t>
  </si>
  <si>
    <t>Estimated Market Value</t>
  </si>
  <si>
    <t xml:space="preserve">
The estimated value of property as established by the price a willing buyer would pay for property purchased from a willing seller.
    </t>
  </si>
  <si>
    <t>Estimated Recovery Date</t>
  </si>
  <si>
    <t xml:space="preserve">
This is the estimated recovery date that is used in reference to a claim estimate.
    </t>
  </si>
  <si>
    <t>EUR ING</t>
  </si>
  <si>
    <t xml:space="preserve">
European Engineer (EUR ING)
    </t>
  </si>
  <si>
    <t>Event</t>
  </si>
  <si>
    <t xml:space="preserve">
An incident of interest in an insurance context that can be documented via date/time.
    </t>
  </si>
  <si>
    <t>Event  Affected Place</t>
  </si>
  <si>
    <t xml:space="preserve">
This is the geographic place affected by an event.
    </t>
  </si>
  <si>
    <t>Event  Caused Event</t>
  </si>
  <si>
    <t xml:space="preserve">
This represents an event that is caused by another event.
For example, a flood may cause a fire. The flood is the "causing event" and the fire is the "caused event".
    </t>
  </si>
  <si>
    <t>Event  Causing Event</t>
  </si>
  <si>
    <t xml:space="preserve">
This represents an event that acts as the stimulus for/cause of another event.
For example, a flood may cause a fire. The flood is the "causing event" and the fire is the "caused event".
    </t>
  </si>
  <si>
    <t>Event  Description</t>
  </si>
  <si>
    <t xml:space="preserve">
Description of the major event.
    </t>
  </si>
  <si>
    <t>Event  Effective Period</t>
  </si>
  <si>
    <t xml:space="preserve">
This represents the duration of the event expressed in time (e.g. start date/time, end date/time).
    </t>
  </si>
  <si>
    <t>Event  Estimated Period</t>
  </si>
  <si>
    <t xml:space="preserve">
This represents the estimated duration of the event expressed in time (e.g. start date/time, end date/time).
    </t>
  </si>
  <si>
    <t>Event  Included Party Role In Event</t>
  </si>
  <si>
    <t xml:space="preserve">
This represents the role of a party within the context of an event.
    </t>
  </si>
  <si>
    <t>Event  Name</t>
  </si>
  <si>
    <t xml:space="preserve">
This represents the name of the event (e.g. Hurricane Katrina, etc.).
    </t>
  </si>
  <si>
    <t>Event  Occurring Place</t>
  </si>
  <si>
    <t xml:space="preserve">
This is the geographic place where an event occurred.
    </t>
  </si>
  <si>
    <t>Event  Registering Catastrophe Registration</t>
  </si>
  <si>
    <t xml:space="preserve">
This represents the registration of a catastrophe (e.g. registration/identification of the storm "Hurricane Katrina" as registered by the National Hurricane Center/NOAA).
    </t>
  </si>
  <si>
    <t>Event Location</t>
  </si>
  <si>
    <t xml:space="preserve">
See Accident Location.
    </t>
  </si>
  <si>
    <t>Event Participant</t>
  </si>
  <si>
    <t xml:space="preserve">
This party role represents the party participating in (e.g. involved in) an event.
    </t>
  </si>
  <si>
    <t>Evidence Of Insurability</t>
  </si>
  <si>
    <t xml:space="preserve">
A statement or proof of a person's physical or medical condition, occupation, and so on, affecting the acceptance of the applicant for insurance.
    </t>
  </si>
  <si>
    <t>Examination Company</t>
  </si>
  <si>
    <t xml:space="preserve">
An organization or individual utilizing the skills or services of an employee usually for some form of compensation.
    </t>
  </si>
  <si>
    <t>Examination Interpreter</t>
  </si>
  <si>
    <t xml:space="preserve">
The one who translates the results of an examination. (e.g. Interpreting the results of a medical examination, x-rays, etc.)
    </t>
  </si>
  <si>
    <t>Examiner</t>
  </si>
  <si>
    <t xml:space="preserve">
Reference to person or organization who performed an examination or the formal verification or validation of information learned/known, typically used to satisfy a requirement for licenses, registrations or other firm education.
    </t>
  </si>
  <si>
    <t>Examining Institution</t>
  </si>
  <si>
    <t xml:space="preserve">
The examining institution or authority.
    </t>
  </si>
  <si>
    <t>Excess</t>
  </si>
  <si>
    <t xml:space="preserve">
See Excess Coverage.
    </t>
  </si>
  <si>
    <t>Excess Benefit</t>
  </si>
  <si>
    <t xml:space="preserve">
In medical insurance, indicates whether the benefit combines a high deductible and high maximum benefit level and is intended to supplement older, low-limit major medical expense plans.
    </t>
  </si>
  <si>
    <t>Excess Coverage</t>
  </si>
  <si>
    <t xml:space="preserve">
Coverage for which limits apply once the amount of primary insurance (either contract or self-insured) has been satisfied.
    </t>
  </si>
  <si>
    <t>Excess Insurance</t>
  </si>
  <si>
    <t>Excess Of Contract Limits Clause</t>
  </si>
  <si>
    <t xml:space="preserve">
A clause in an insurance contract for which there is a situation of XPL (excess of policy limits) which are covered by the reinsurance.
    </t>
  </si>
  <si>
    <t>Excess Of Loss Insurance</t>
  </si>
  <si>
    <t xml:space="preserve">
Coverage for that portion of a loss which exceeds a certain amount retained by the insured or covered by other insurance, and then only for liability in excess of that figure.
    </t>
  </si>
  <si>
    <t>Excess Of Loss Line Slip Agreement</t>
  </si>
  <si>
    <t xml:space="preserve">
The Line Slip concept prevalent in proportional reinsurance can be applied equally to the Risk Excess. Under this semi-automatic arrangement, whereas each risk is offered by means of a separate slip, coverage up to an agreed maximum limit is guaranteed once the rates and other terms are agreed with the Leading Underwriter.
    </t>
  </si>
  <si>
    <t>Excess Of Loss Treaty Agreement</t>
  </si>
  <si>
    <t xml:space="preserve">
Excess of Loss Treaty.
Excess of loss reinsurance is a method whereby an insurer pays the amount of each claim for each risk up to a limit determined in advance and the reinsurer pays the amount of the claim above that limit up to a specific sum. For example, assume that an insurer issues automobile liability policies of $150,000 on any one risk and retains the first $50,000 of any risk. The insurer purchases excess loss reinsurance for $100,000 in excess of $50,000 on any one risk. The insurer pays the first $50,000 of all losses, and the reinsurer pays any excess amount up to a maximum of $100,000.
Low or working layer excess of loss reinsurance: Reinsurance that absorbs the losses immediately above the reinsured's retention layer. A low layer excess of loss reinsurer will pay up to a certain monetary amount at which point a higher layer reinsurer or the ceding company will be liable for additional losses.  Also known as working layer reinsurance.
    </t>
  </si>
  <si>
    <t>Excess Of Loss Treaty Agreement  Attachment Point Amount</t>
  </si>
  <si>
    <t xml:space="preserve">
Attachment point is the amount of losses above which excess of loss reinsurance becomes operative.
    </t>
  </si>
  <si>
    <t>Excess Of Loss Treaty Agreement  Back Up Agreement</t>
  </si>
  <si>
    <t xml:space="preserve">
This represents the agreement that backs-up another agreement.
Sometimes, the original reinsurer will not agree to more than a certain number of automatic reinstatements - for example, it will agree to only one reinstatement under a catastrophe cover. Alternatively, the cover may be subject to an Annual Aggregate Limit. In such cases, the reassured may face a serious budgeting uncertainty where there are practical difficulties in assessing at inception whether the total cover thus available is sufficient; or the reinsurer is simply not prepared to grant any further cover in advance at an agreed rate. It would be risky for the reassured to wait for the cover to be exhausted before purchasing additional protection. This poses the following dangers from the reassured's point of view:
a) It may be placed in an adverse position if it were to approach the market for an additional reinstatement after the original protection is exhausted. Apart from the danger of further losses in quick succession, it will obviously be in a seller's market and may have to pay an unexpected price. 
b) Apart from the uncertainty of the cost of such protection after a number of claims have already occurred, the time available for arranging protection may be insufficient (e.g. - per risk protection exhausted by a catastrophe).
c) The danger is particularly serious in the case of long tail covers with an IBNR potential, where the period may have expired before the reassured realizes that the cover is exhausted. It would be prohibitively costly to purchase retroactive protection in such cases, or such cover may not be available at all. Under such circumstances, back-up protection can be purchased in advance from another reinsurer for additional reinstatements for an agreed price payable up front. The deductible under this cover will be identical as under the original cover but, in addition.
There is no hard and fast rating formula for this type of protection but the rate would be much lower than the original rate applicable to the underlying cover because 
a) It will be triggered only after the latter is exhausted, the cover being thus effectively subject to an annual aggregate deductible equivalent to the original limit plus the limit under automatic reinstatements; and
b) The price is payable up front - regardless of whether the protection is actually availed of or not.
    </t>
  </si>
  <si>
    <t>Excess Of Loss Treaty Agreement  Loss Coverage Basis Code</t>
  </si>
  <si>
    <t xml:space="preserve">
Enables to determines which original policy losses will be covered under a given reinsurance agreement.
There are two types of methodologies: policies attaching and losses occurring.  The determination may be based on 1) the effective or renewal date of the original policy; or 2) on the date of the loss; or 3) on the date when the reinsured company recorded premium or loss transaction. LOD = A policy providing cover for losses occurring in the defined period no matter when they are reported, as opposed to a claims made policy or a risk attaching policy. Syn = basis of attachment.
    </t>
  </si>
  <si>
    <t>Excess Of Loss Treaty Agreement  Loss Type Code</t>
  </si>
  <si>
    <t xml:space="preserve">
Coded indication of the type of an excess of loss reinsurance treaty contract.
    </t>
  </si>
  <si>
    <t>Excess Of Loss Treaty Agreement  Reinstatement Count</t>
  </si>
  <si>
    <t xml:space="preserve">
The number of times that the coverage provided by a Reinsurance excess of loss treaty can be reinstated automatically within the terms of the contract.
    </t>
  </si>
  <si>
    <t>Excess Of Loss Treaty Agreement  Rpp Providing Agreement</t>
  </si>
  <si>
    <t xml:space="preserve">
This represents the agreement that provides Reinsurance Premium Protection (RPP) for another agreement.
    </t>
  </si>
  <si>
    <t>Excess Of Loss, Surplus Cover Number</t>
  </si>
  <si>
    <t xml:space="preserve">
A number assigned to a contact in the case of Excess Of Loss or Surplus Cover Reinsurance to express the layering of covers.
    </t>
  </si>
  <si>
    <t>Exchange Traded</t>
  </si>
  <si>
    <t xml:space="preserve">
A stock exchange upon which the stock is traded. Examples: Nasdaq, NYSE, SEC, SMI.
    </t>
  </si>
  <si>
    <t>Excluded Driver</t>
  </si>
  <si>
    <t xml:space="preserve">
A person specified as excluded as a driver in an agreement or agreement component. Coverage is not provided in case the excluded driver is operating the insured vehicle at the time of the loss event.
e.g: John Doe Junior excluded from coverage when driving the car of John Doe Senior in John Doe Senior's automobile insurance policy.
    </t>
  </si>
  <si>
    <t>Excluded Object</t>
  </si>
  <si>
    <t xml:space="preserve">
This role represents an excluded physical object in the context of the agreement.
For example, a homeowners insurance policy may provide automatic coverage to detached structures on premises and one of the detached structures may be in poor physical condition or may be a type of structure not contemplated by the policy and its coverages (e.g. a farm building). For this type of scenario, there is a need to "exclude" the structure and it will likely be named on the agreement as excluded from certain coverage(s).
    </t>
  </si>
  <si>
    <t>Exclusive Agent</t>
  </si>
  <si>
    <t xml:space="preserve">
See Captive Agent.
    </t>
  </si>
  <si>
    <t>Expense Account</t>
  </si>
  <si>
    <t xml:space="preserve">
An account summarizing or listing expense items. This "account" is simply a place to specifically note how an expense is allocated to a department or specific item.
In the end, the expense account is particularly important in summarizing the amounts necessary to calculate an insurance company's expense ratio.
e.g: An expense account related to all the expenses of a particular claim. 
e.g: An expense account related to all the expenses of a particular marketing campaign.
e.g.: An expense incurred by the information technology department for a specific project.
    </t>
  </si>
  <si>
    <t>Experience Modification</t>
  </si>
  <si>
    <t xml:space="preserve">
Adjustment of premiums resulting from the prior loss experience of the risk.
    </t>
  </si>
  <si>
    <t>Experience Rating</t>
  </si>
  <si>
    <t xml:space="preserve">
The method in which the actual experience of the insured is compared to the experience that is normally expected by other risks in the insured's rating class.
    </t>
  </si>
  <si>
    <t>Experience Refund</t>
  </si>
  <si>
    <t xml:space="preserve">
Return of a percentage of premium paid by a business firm if its loss record is better than the amount loaded into the basic premium.
    </t>
  </si>
  <si>
    <t>Experimental Medical Or Unproven Procedures</t>
  </si>
  <si>
    <t xml:space="preserve">
Any health care treatment or service that is in trial stage (being tested on animals or humans) and not proven by scientific evidence to be effective.
    </t>
  </si>
  <si>
    <t>Exposure</t>
  </si>
  <si>
    <t xml:space="preserve">
The state of being subject to loss because of some hazard or contingency. Also used as a measure of the rating units or the premium base of a risk.
    </t>
  </si>
  <si>
    <t>Exposure Base</t>
  </si>
  <si>
    <t xml:space="preserve">
See Premium Base.
    </t>
  </si>
  <si>
    <t>Exposure Distance</t>
  </si>
  <si>
    <t xml:space="preserve">
The distance to the adjacent exposure.
    </t>
  </si>
  <si>
    <t>Extended Warranty Period</t>
  </si>
  <si>
    <t xml:space="preserve">
See Additional Warranty Period.
    </t>
  </si>
  <si>
    <t>Exterior Doors</t>
  </si>
  <si>
    <t xml:space="preserve">
This represents various aspects of the exterior doors of a structure.
    </t>
  </si>
  <si>
    <t>Exterior Doors  Reinforced Indicator</t>
  </si>
  <si>
    <t xml:space="preserve">
This indicates whether the exterior door is reinforced.
    </t>
  </si>
  <si>
    <t>Exterior Doors  Type Code</t>
  </si>
  <si>
    <t xml:space="preserve">
This code represents a type of exterior door.
    </t>
  </si>
  <si>
    <t>External Code  Code</t>
  </si>
  <si>
    <t xml:space="preserve">
The code value from the external code list.
    </t>
  </si>
  <si>
    <t>External Code  Source Identity</t>
  </si>
  <si>
    <t xml:space="preserve">
Used to identify the source of a code list when there is a need to override the source (if any) documented in the Information Model. This allows ACORD to reference a source and allows implementers to define and use their own.
Usage Note: Utilizing a URL is recommended, when available, because of the clarity it provides. This is not a requirement.
    </t>
  </si>
  <si>
    <t>Extra Contractual Obligation</t>
  </si>
  <si>
    <t xml:space="preserve">
A clause in a reinsurance contract for which there is a situation in which losses outside of the contract are covered by the reinsurer.
    </t>
  </si>
  <si>
    <t>Facultative Reinsurance</t>
  </si>
  <si>
    <t xml:space="preserve">
A reinsurance arrangement by which individuals risks are offered by the ceding insurer to a reinsurer, who has the right (faculty) to accept or reject each risk.
    </t>
  </si>
  <si>
    <t>Family Medical History</t>
  </si>
  <si>
    <t xml:space="preserve">
This represents the medical history of a family (e.g. a medical condition or illness experienced by a person's family member).
    </t>
  </si>
  <si>
    <t>Family Medical History  Identified Medical Condition</t>
  </si>
  <si>
    <t xml:space="preserve">
This represents a medical condition identified by a family medical history.
    </t>
  </si>
  <si>
    <t>Family Medical History  Relationship Nature</t>
  </si>
  <si>
    <t xml:space="preserve">
This represents the family person (e.g. mother, grandparent, sibling, etc.) to whom the family illness is associated.
    </t>
  </si>
  <si>
    <t>Family Member</t>
  </si>
  <si>
    <t xml:space="preserve">
This concept represents a family member (e.g. father, mother, son, daughter, aunt, etc.)
    </t>
  </si>
  <si>
    <t>Family Member  Relation Nature Code</t>
  </si>
  <si>
    <t xml:space="preserve">
A code indicating the nature of a family member in relation to another family member.
    </t>
  </si>
  <si>
    <t>Family Member  Relationship</t>
  </si>
  <si>
    <t xml:space="preserve">
This represents the family relationship to which a family member belongs.
    </t>
  </si>
  <si>
    <t>Family Relationship</t>
  </si>
  <si>
    <t xml:space="preserve">
This represents a relationship between family members. The family members may or may not reside in the same household.
e.g. Upon reaching adulthood, a daughter may have moved out of her parents' home, but that does not change the fact that she remains their daughter.
    </t>
  </si>
  <si>
    <t>Family Relationship  Children Count</t>
  </si>
  <si>
    <t xml:space="preserve">
This represents the number of children of a person.
    </t>
  </si>
  <si>
    <t>Family Relationship  Family Member</t>
  </si>
  <si>
    <t xml:space="preserve">
This represents a family member (e.g. father, mother, son, daughter, aunt, etc.) in a family relationship.
    </t>
  </si>
  <si>
    <t>Farm Building</t>
  </si>
  <si>
    <t xml:space="preserve">
This concept represents a farm building.
    </t>
  </si>
  <si>
    <t>Farthest Zone Code</t>
  </si>
  <si>
    <t xml:space="preserve">
An industry code specifying the location of the farthest zone from the vehicle's base of operation in which the vehicle is operated.
    </t>
  </si>
  <si>
    <t>FASB</t>
  </si>
  <si>
    <t xml:space="preserve">
Financial Accounting Standards Board  (FASB)
    </t>
  </si>
  <si>
    <t>Fax Contact</t>
  </si>
  <si>
    <t xml:space="preserve">
This concept represents a fax as a means of contact.
    </t>
  </si>
  <si>
    <t>Fax Contact  Telephone Number</t>
  </si>
  <si>
    <t xml:space="preserve">
This represents the telephone number "address" for a fax contact.
    </t>
  </si>
  <si>
    <t>Feature Conflict</t>
  </si>
  <si>
    <t xml:space="preserve">
This term is used in the life and annuity lines of business and indicates any other product feature(s) which is/are not available simultaneously with the feature being described. A reference to another Feature Product which, when elected, makes this Feature Product unavailable. If multiple Feature Products are included, the selection of any one makes the feature being described unavailable.
    </t>
  </si>
  <si>
    <t>Feature Option Product</t>
  </si>
  <si>
    <t xml:space="preserve">
The set of options available in an insurance product, such as the riders, investment arrangements, systematic withdrawal options, etc.
    </t>
  </si>
  <si>
    <t>Feature Specification</t>
  </si>
  <si>
    <t xml:space="preserve">
This concept represents a relationship between two manufactured item specifications, allowing for clarity on features that make-up the specification, including whether such features are optional.
USAGE NOTE: When describing a scenario, the use code describes the "from" ManufacturedItemSpecification in relation to the "to" ManufacturedItemSpecification.
In other words, the three attributes essentially complete the following sentence:
fromManufacturedItemSpecification useCode toManufacturedItemSpecification
e.g. Automobile Requires Brakes
    </t>
  </si>
  <si>
    <t>Feature Specification  From Manufactured Item Specification</t>
  </si>
  <si>
    <t xml:space="preserve">
This represents the manufactured item specification "from" which a relationship is being established via feature specification.
    </t>
  </si>
  <si>
    <t>Feature Specification  To Manufactured Item Specification</t>
  </si>
  <si>
    <t xml:space="preserve">
This represents the manufactured item specification "to" which a relationship is being established via feature specification.
    </t>
  </si>
  <si>
    <t>Feature Specification  Use Code</t>
  </si>
  <si>
    <t xml:space="preserve">
A code indicating the use of a feature on a manufactured item (e.g. optional, required).
    </t>
  </si>
  <si>
    <t>Fee</t>
  </si>
  <si>
    <t xml:space="preserve">
This represents amounts charged by the modeled organization that are not directly related to a benefit but are used for covering its operational costs.
    </t>
  </si>
  <si>
    <t>Fee Component</t>
  </si>
  <si>
    <t xml:space="preserve">
This represents an amount added to the basic premium to reflect the cost of issuing a contract, establishing the required records, sending premium notices, and other related expenses
Examples include: lapse fee, withdrawal fee, expense charge, face increase fee, premium notice fee, withdrawal fee, face increase fee, surrender charges, etc.
The fee does not specifically affect the insurance premium. See PremiumFactor for components that modify the insurance premium.  However, the fee amount may be included as part of a premium payment for convenience or billing purposes if appropriate.
    </t>
  </si>
  <si>
    <t>Fee Specification  Type Code</t>
  </si>
  <si>
    <t xml:space="preserve">
A code identifying a type of agreement fee. See code list for examples.
    </t>
  </si>
  <si>
    <t>FEIN</t>
  </si>
  <si>
    <t xml:space="preserve">
Federal Employment Information Number (FEIN)
    </t>
  </si>
  <si>
    <t>FEMA</t>
  </si>
  <si>
    <t xml:space="preserve">
Federal Emergency Management Agency (FEMA)
    </t>
  </si>
  <si>
    <t>Fence</t>
  </si>
  <si>
    <t xml:space="preserve">
A fence is a freestanding structure designed to restrict or prevent movement across a boundary.
    </t>
  </si>
  <si>
    <t>FERMA</t>
  </si>
  <si>
    <t xml:space="preserve">
Federation of European Risk Management Associations (FERMA)
    </t>
  </si>
  <si>
    <t>FET</t>
  </si>
  <si>
    <t xml:space="preserve">
Federal Excise Tax (FET)
    </t>
  </si>
  <si>
    <t>FGU</t>
  </si>
  <si>
    <t xml:space="preserve">
From Group Up (FGU)
    </t>
  </si>
  <si>
    <t>FIA</t>
  </si>
  <si>
    <t xml:space="preserve">
Financial Intermediaries Association of South Africa (FIA)
    </t>
  </si>
  <si>
    <t>Field Personnel - Total</t>
  </si>
  <si>
    <t xml:space="preserve">
Total number of personnel employed by the company who predominantly spend their time working outside of their assigned office. Such as: construction site workers, project managers, inspection engineers.
    </t>
  </si>
  <si>
    <t xml:space="preserve">
This concept enables the structure of a file including other files and documents.
    </t>
  </si>
  <si>
    <t>FIMBRA</t>
  </si>
  <si>
    <t xml:space="preserve">
Financial Intermediaries, Managers and Brokers Regulatory Association (FIMBRA)
    </t>
  </si>
  <si>
    <t>Financial Activity</t>
  </si>
  <si>
    <t xml:space="preserve">
This represents the generalizing concept for all business financial operations.
    </t>
  </si>
  <si>
    <t>Financial Activity  Currency Code</t>
  </si>
  <si>
    <t>Financial Activity  Fiscal Year</t>
  </si>
  <si>
    <t xml:space="preserve">
Considered fiscal year
    </t>
  </si>
  <si>
    <t>Financial Activity  Gross Amount</t>
  </si>
  <si>
    <t xml:space="preserve">
Total amount of the financial activity including any taxes, surcharges, fees, etc that are included in the overall amount.
    </t>
  </si>
  <si>
    <t>Financial Activity  Net Amount</t>
  </si>
  <si>
    <t xml:space="preserve">
Total amount of the financial activity minus any taxes, surcharges, fees, etc that are included in the overall amount.
    </t>
  </si>
  <si>
    <t>Financial Activity  Notified Contact Method</t>
  </si>
  <si>
    <t xml:space="preserve">
This is the contact method for notification of a financial activity.
    </t>
  </si>
  <si>
    <t>Financial Activity  Originating Financial Activity</t>
  </si>
  <si>
    <t xml:space="preserve">
This represents the originating financial activity when another financial activity is being reversed.
    </t>
  </si>
  <si>
    <t>Financial Activity  Processing Type Code</t>
  </si>
  <si>
    <t xml:space="preserve">
A code indicating the type of financial processing (e.g. correction, refund, etc.).
    </t>
  </si>
  <si>
    <t>Financial Activity  Supporting Financial Source Destination</t>
  </si>
  <si>
    <t xml:space="preserve">
This represents the financial source or destination supporting a financial activity in a financial exchange.
    </t>
  </si>
  <si>
    <t>Financial Activity  Type Code</t>
  </si>
  <si>
    <t xml:space="preserve">
A code indicating the type of financial activity (e.g. commission, withdrawal, etc.).
    </t>
  </si>
  <si>
    <t>Financial Activity  Utilized Accounting Document</t>
  </si>
  <si>
    <t xml:space="preserve">
This represents an accounting document utilized in support of a financial activity.
    </t>
  </si>
  <si>
    <t>Financial Activity  Utilized Financial Provision</t>
  </si>
  <si>
    <t xml:space="preserve">
This represents a financial provision utilized by a financial activity (e.g. commission utilized in a financial activity).
    </t>
  </si>
  <si>
    <t>Financial Activity  Utilized Payment Method</t>
  </si>
  <si>
    <t xml:space="preserve">
This represents the payment method utilized by a financial activity in a financial exchange.
    </t>
  </si>
  <si>
    <t>Financial Administrator</t>
  </si>
  <si>
    <t xml:space="preserve">
A person or an organization (financial institution) responsible for arbitrating for the underwriter in order to meet the objectives associated with term, performance, or risk related with a financial services contract.
    </t>
  </si>
  <si>
    <t>Financial Advisor</t>
  </si>
  <si>
    <t xml:space="preserve">
A financial adviser (UK spelling) or financial advisor (US spelling), more recently often referred to as a financial planner, is a professional who renders financial planning services to individuals, businesses and governments. This can involve investment advice, which may include pension  planning, and/or advice on Life insurance and other insurances such as income protection insurance, critical illness insurance etc, and/or advice on mortgages.
Ideally, the financial adviser helps the client maintain the desired balance of investment income, capital gains, and acceptable level of risk by using proper asset allocation. Financial advisers use stock, bonds, mutual funds, real estate investment trusts (REITs), options, futures, notes, and insurance products to meet the needs of their clients. Many financial advisers receive a commission payment for the various financial products that they broker, although "fee-based" planning is becoming increasingly popular in the financial services industry.
A further distinction should be made between "fee-based" and "fee-only" advisers. Fee-based advisers often charge asset based fees but may also collect commissions. Fee-only advisers do not collect commissions or referral fees paid by other product or service providers.
"Client-Centered" investment advisors only charge a fee based on the assets managed for the client. Typically they charge about 1.0 to 1.5% per year to make the investment decisions for the client. They do not collect commissions.
    </t>
  </si>
  <si>
    <t>Financial Analyst</t>
  </si>
  <si>
    <t xml:space="preserve">
A person or organization responsible for the analysis of specific financial instruments, such as portfolios, strategies and so on. Their activities are essentially those required by an institution so that the financial instruments of the institution and its clients are successful.
    </t>
  </si>
  <si>
    <t>Financial Asset</t>
  </si>
  <si>
    <t xml:space="preserve">
A type of asset that can be traded. For example, shares of a publicly-traded company would be represented as a financial asset (shares) as any one share is equivalent in all respects to any other share. In addition, unique objects such as a picture by Modigliani are represented by a marketable object.
A financial asset represents the total of the outstanding assets of this type. Any investment in this asset is represented as an asset holding.
    </t>
  </si>
  <si>
    <t>Financial Asset  Containing Asset Holding</t>
  </si>
  <si>
    <t xml:space="preserve">
This represents the asset holding that contains a financial asset (e.g. the asset held in an asset holding account and for which transactions are being tracked by this asset holding account).
    </t>
  </si>
  <si>
    <t>Financial Asset  Description</t>
  </si>
  <si>
    <t xml:space="preserve">
A free-text statement used to explain the meaning of the financial asset.
    </t>
  </si>
  <si>
    <t>Financial Asset  Effective Period</t>
  </si>
  <si>
    <t xml:space="preserve">
The time period on which an occurrence of financial asset exists.
    </t>
  </si>
  <si>
    <t>Financial Asset  Name</t>
  </si>
  <si>
    <t xml:space="preserve">
The word or phrase used to identify (but not uniquely) the financial asset. 
e.g: Far Eastern Securities Fund. 
e.g: Guaranteed Life Fund. 
e.g: Managed Pension Fund.
    </t>
  </si>
  <si>
    <t>Financial Asset  Value</t>
  </si>
  <si>
    <t xml:space="preserve">
This represents the asset value/price for a financial asset.
    </t>
  </si>
  <si>
    <t>Financial Derivative</t>
  </si>
  <si>
    <t xml:space="preserve">
A two-party financial contract the worth of which is derived from the value of some underlying asset (e.g. a currency security or commodity), reference interest rate (e.g. a rate based on the prime), or index (e.g. Standard &amp; Poor's Composite Index). Examples are futures contracts swaps, call options, and put options.
    </t>
  </si>
  <si>
    <t>Financial Destination</t>
  </si>
  <si>
    <t xml:space="preserve">
This concept represents a financial destination utilized with other concepts, including but not limited to: financial schedules, financial activities, installments, payments.
    </t>
  </si>
  <si>
    <t>Financial Destination  Compensating Financial Source</t>
  </si>
  <si>
    <t xml:space="preserve">
This represents the financial source that is compensating one or more financial destinations.
    </t>
  </si>
  <si>
    <t>Financial Disclosure Rule</t>
  </si>
  <si>
    <t xml:space="preserve">
Rules, applied by the company, concerning the disclosure of information provided by the customer. Disclosure rules may be inherent to a financial product.
    </t>
  </si>
  <si>
    <t>Financial Information Source</t>
  </si>
  <si>
    <t xml:space="preserve">
The source of the financial business information (i.e. SEC Filing, Annual Report, etc.)
    </t>
  </si>
  <si>
    <t>Financial Loss Event</t>
  </si>
  <si>
    <t xml:space="preserve">
An event consisting of a financial loss.
e.g. Money stolen (burglary, employee theft)
e.g. Money no longer being received (business income)
    </t>
  </si>
  <si>
    <t>Financial Objective</t>
  </si>
  <si>
    <t xml:space="preserve">
The financial objective of a person or an organization that can be supported or achieved by owning financial services products (for example, retirement funding, education funding).
    </t>
  </si>
  <si>
    <t>Financial Option</t>
  </si>
  <si>
    <t xml:space="preserve">
This accounts for the option(s) identified as part of the agreement, arranging for the movement of money (e.g fund transfer, billing/payment plan, etc.).
    </t>
  </si>
  <si>
    <t>Financial Option  Amount</t>
  </si>
  <si>
    <t xml:space="preserve">
This represents the financial amount within the context of the financial arrangement (e.g. the amount due for an agreement, an agreement component, coverage, etc.).
    </t>
  </si>
  <si>
    <t>Financial Option  Amount Basis Code</t>
  </si>
  <si>
    <t xml:space="preserve">
A code identifying the basis for the financial arrangement amount (e.g. annual, agreement term, etc.).
    </t>
  </si>
  <si>
    <t>Financial Option  Anniversary Date</t>
  </si>
  <si>
    <t xml:space="preserve">
The day and month that are used to calculate the payment due dates for the payments and payment dues created by the scheduler.
    </t>
  </si>
  <si>
    <t>Financial Option  Arranged Financial Scheduler</t>
  </si>
  <si>
    <t xml:space="preserve">
This represents the financial scheduler that's been arranged based on the selected financial option on an agreement.
    </t>
  </si>
  <si>
    <t>Financial Option  Billing Method Code</t>
  </si>
  <si>
    <t xml:space="preserve">
A code that identifies the method of the billing (policy bill, account bill).
    </t>
  </si>
  <si>
    <t>Financial Option  Grace Period Duration</t>
  </si>
  <si>
    <t xml:space="preserve">
The specified time following the payment due date during which the agreement remains valid (e.g. in-force) and the payer (e.g. insured, policyholder, etc.) may pay the amount due without penalty.
e.g: 31 days
    </t>
  </si>
  <si>
    <t>Financial Option  Premium Holiday Indicator</t>
  </si>
  <si>
    <t xml:space="preserve">
An indicator of when the premium is in a premium holiday state. A premium holiday is a period of time in which no premium is paid but where the contract continues to be in force.
    </t>
  </si>
  <si>
    <t>Financial Option  Reference Period</t>
  </si>
  <si>
    <t xml:space="preserve">
For each agreement amount due (e.g. premium), there is a reference period that can be considered, for example as a coverage period, which is the counterpart of the agreement  amount due payment.
    </t>
  </si>
  <si>
    <t>Financial Option  Threshold Amount</t>
  </si>
  <si>
    <t xml:space="preserve">
This represents the amount that the financial option will use to trigger the scheduling of the option.
    </t>
  </si>
  <si>
    <t>Financial Option Specification</t>
  </si>
  <si>
    <t xml:space="preserve">
This is a product component specification for a corresponding agreement component indicated in the class name.
    </t>
  </si>
  <si>
    <t>Financial Option Specification  Type Code</t>
  </si>
  <si>
    <t xml:space="preserve">
A code identifying a type of financial option (e.g. loan, loan interest, payment, etc.).
    </t>
  </si>
  <si>
    <t>Financial Provision</t>
  </si>
  <si>
    <t xml:space="preserve">
A financial provision represents a money amount and money type relevant to cash-flow. Fundamentally, financial provisions can be viewed as atomic or comprised (e.g. a financial provision comprised of other financial provisions).
For example, the financial provision "premium" may be comprised of other financial provisions including: pure premium, commission, and tax.
The comprised part represents the whole of the utilized atomic parts.
    </t>
  </si>
  <si>
    <t>Financial Provision  Amount</t>
  </si>
  <si>
    <t xml:space="preserve">
The money/currency amount for the financial provision (e.g. loan, premium, tax, commission, etc.).
    </t>
  </si>
  <si>
    <t>Financial Provision  Calculation Basis Amount</t>
  </si>
  <si>
    <t xml:space="preserve">
The currency amount that serves as the calculation basis for a financial provision.
    </t>
  </si>
  <si>
    <t>Financial Provision  Calculation Method Code</t>
  </si>
  <si>
    <t xml:space="preserve">
A code indicating the type of premium calculation.
    </t>
  </si>
  <si>
    <t>Financial Provision  Comprised Financial Provision</t>
  </si>
  <si>
    <t xml:space="preserve">
This represents a comprised financial provision (e.g. a financial provision comprised of one or more other financial provisions).
For example, premium (as a financial provision) may be comprised of (include) pure premium (financial provision) and commission (financial provision). In this example, "pure premium" and "commission" are "included" in the "comprised" financial provision: premium.
    </t>
  </si>
  <si>
    <t>Financial Provision  Description</t>
  </si>
  <si>
    <t xml:space="preserve">
A textual statement used to explain the meaning of this money provision.  The description may contain the reason for creating the money provision.
    </t>
  </si>
  <si>
    <t>Financial Provision  Effective Period</t>
  </si>
  <si>
    <t xml:space="preserve">
The time period at which this money provision is active.
    </t>
  </si>
  <si>
    <t>Financial Provision  Estimate Indicator</t>
  </si>
  <si>
    <t xml:space="preserve">
Indicates that the particular money provision is an estimate.
    </t>
  </si>
  <si>
    <t>Financial Provision  Grandfathered Indicator</t>
  </si>
  <si>
    <t xml:space="preserve">
This indicates the financial provision was grandfathered (e.g. it is exempt from new or changing conditions).
For example, a premium amount was grandfathered from a previously existing plan, in a group insurance context.
    </t>
  </si>
  <si>
    <t>Financial Provision  Included Financial Provision</t>
  </si>
  <si>
    <t xml:space="preserve">
This represents the financial provision included within another financial provision.
For example, premium (as a financial provision) may be comprised of (include) pure premium (financial provision) and commission (financial provision). In this example, "pure premium" and "commission" are "included" in the financial provision "premium".
    </t>
  </si>
  <si>
    <t>Financial Provision  Is Base For</t>
  </si>
  <si>
    <t xml:space="preserve">
This represents the financial provision whose value is the base for another financial provision.
For example, the value of financial provision #1 "is the base for" the value of financial provision #2.
e.g: The financial provision "premium" (involving a coverage) "is the base for" the value of financial provision "commission". In this example, the "is base for" financial provision is "premium".
    </t>
  </si>
  <si>
    <t>Financial Provision  Is Based On</t>
  </si>
  <si>
    <t xml:space="preserve">
This represents the financial provision which "is based on" another financial provision is based.
For example, the value of financial provision #1 "is based on" the value of financial provision #2.
e.g: The financial provision commission "is based on" the value of financial provision premium (involving a coverage). In this example, the "is based on" financial provision is "commission".
    </t>
  </si>
  <si>
    <t>Financial Provision  Is Based On Specification</t>
  </si>
  <si>
    <t xml:space="preserve">
This represents the product specification (e.g. blueprint/design) that is the basis for a resulting financial provision.
    </t>
  </si>
  <si>
    <t>Financial Provision  Providing Agreement Base</t>
  </si>
  <si>
    <t xml:space="preserve">
This represents an agreement or agreement component that provides for an associated financial provision (e.g. premium, commission, etc.).
    </t>
  </si>
  <si>
    <t>Financial Provision  Rate</t>
  </si>
  <si>
    <t xml:space="preserve">
The rate applicable to the financial provision (e.g. the tax rate).
    </t>
  </si>
  <si>
    <t>Financial Provision  Scheduling Financial Scheduler</t>
  </si>
  <si>
    <t xml:space="preserve">
This represents the financial scheduler that is scheduling a financial provision  (in support of a financial exchange).
    </t>
  </si>
  <si>
    <t>Financial Provision  Supported Account Entry</t>
  </si>
  <si>
    <t xml:space="preserve">
This represents an account entry supported by a financial provision (e.g. premium, tax, etc.).
    </t>
  </si>
  <si>
    <t>Financial Provision  Supported Installment</t>
  </si>
  <si>
    <t xml:space="preserve">
This represents an installment typically utilized in support of a financial exchange. The financial provision(s) support the installment with regards to traceability and clarity on the nature of the installment.
    </t>
  </si>
  <si>
    <t>Financial Provision  Utilizing Financial Activity</t>
  </si>
  <si>
    <t xml:space="preserve">
This represents a financial activity that is utilizing a financial provision (e.g. a financial activity utilizing commission).
    </t>
  </si>
  <si>
    <t>Financial Provision Specification  Exposure Base</t>
  </si>
  <si>
    <t xml:space="preserve">
The basis to which rates are applied to determine premium. Exposures may be measured by payroll (as in workers compensation or general liability), receipts, sales, square footage, area, man hours, etc.
    </t>
  </si>
  <si>
    <t>Financial Provision Specification  Resulting Financial Provision</t>
  </si>
  <si>
    <t xml:space="preserve">
This represents the resulting financial provision based on the product specification.
    </t>
  </si>
  <si>
    <t>Financial Provision Specification  Type Code</t>
  </si>
  <si>
    <t xml:space="preserve">
A code indicating the type of financial provision (e.g. premium, fee, etc).
    </t>
  </si>
  <si>
    <t>Financial Provision Summary</t>
  </si>
  <si>
    <t xml:space="preserve">
A financial provision summary represents a summarized money amount, often relevant for a specified time period. It may be comprised of varying types of financial provisions as needed (e.g. commission, premium, tax, etc.).
    </t>
  </si>
  <si>
    <t>Financial Provision Summary  Amount</t>
  </si>
  <si>
    <t xml:space="preserve">
The summary amount for one or more financial provisions (e.g. premiums, taxes, etc.).
    </t>
  </si>
  <si>
    <t>Financial Provision Summary  Included Financial Provision</t>
  </si>
  <si>
    <t xml:space="preserve">
This is a financial provision included in a financial provision summary.
    </t>
  </si>
  <si>
    <t>Financial Provision Summary  Summary Period</t>
  </si>
  <si>
    <t xml:space="preserve">
The time period for which the summary applies.
    </t>
  </si>
  <si>
    <t>Financial Responsibility Law</t>
  </si>
  <si>
    <t xml:space="preserve">
A state law requiring that all automobile drivers show proof that they can pay damages up to a minimum amount if involved in an auto accident. Varies from state to state but can be met by carrying a minimum amount of auto liability insurance.
    </t>
  </si>
  <si>
    <t>Financial Result</t>
  </si>
  <si>
    <t xml:space="preserve">
This concept is a description of the financial results of a company.
    </t>
  </si>
  <si>
    <t>Financial Result  Based On Operations Detail</t>
  </si>
  <si>
    <t xml:space="preserve">
This represents an organization's  operations, which served as the basis for a corresponding financial result.
    </t>
  </si>
  <si>
    <t>Financial Result  Changed Value Amount</t>
  </si>
  <si>
    <t xml:space="preserve">
The changed financial value of the organization from the previous result period.
    </t>
  </si>
  <si>
    <t>Financial Result  Dividends Per Share Amount</t>
  </si>
  <si>
    <t xml:space="preserve">
Total dividends paid out, per share for the result period.
    </t>
  </si>
  <si>
    <t>Financial Result  Earnings Per Share Amount</t>
  </si>
  <si>
    <t xml:space="preserve">
Total amount earned per share for the result period.
    </t>
  </si>
  <si>
    <t>Financial Result  Ebit Amount</t>
  </si>
  <si>
    <t xml:space="preserve">
Earnings Before Interest and Tax (EBIT) - also known as "Operating Profit"
    </t>
  </si>
  <si>
    <t>Financial Result  Ebitda Amount</t>
  </si>
  <si>
    <t>Financial Result  Ebt Amount</t>
  </si>
  <si>
    <t>Financial Result  Gross Earnings Amount</t>
  </si>
  <si>
    <t xml:space="preserve">
Total receipts before any subtractions such as taxes, interest and expenses.
    </t>
  </si>
  <si>
    <t>Financial Result  Gross Profit Amount</t>
  </si>
  <si>
    <t xml:space="preserve">
Gross profit amount during the result period.
    </t>
  </si>
  <si>
    <t>Financial Result  Interest Paid Amount</t>
  </si>
  <si>
    <t xml:space="preserve">
Total amount paid in interest for the result period.
    </t>
  </si>
  <si>
    <t>Financial Result  Inventory Turn Over</t>
  </si>
  <si>
    <t xml:space="preserve">
Turn over of the company during the considered period (resultDuration).
    </t>
  </si>
  <si>
    <t>Financial Result  Net Earning Amount</t>
  </si>
  <si>
    <t xml:space="preserve">
Net profit amount during the result period
    </t>
  </si>
  <si>
    <t>Financial Result  Net Result Amount</t>
  </si>
  <si>
    <t xml:space="preserve">
This is revenue less expenses, also known as profit or loss.
    </t>
  </si>
  <si>
    <t>Financial Result  Operating Costs Amount</t>
  </si>
  <si>
    <t xml:space="preserve">
Total operating costs for the result period.
    </t>
  </si>
  <si>
    <t>Financial Result  Profit After Tax Amount</t>
  </si>
  <si>
    <t xml:space="preserve">
Most recently reported profit after tax for this company.
    </t>
  </si>
  <si>
    <t>Financial Result  Revenue Amount</t>
  </si>
  <si>
    <t xml:space="preserve">
The total income received by an organization for the result period.
    </t>
  </si>
  <si>
    <t>Financial Result  Taxes Paid Amount</t>
  </si>
  <si>
    <t xml:space="preserve">
Total amount paid in taxes for the result period
    </t>
  </si>
  <si>
    <t>Financial Risk Agreement</t>
  </si>
  <si>
    <t xml:space="preserve">
A risk agreement concerned with financial risk management
    </t>
  </si>
  <si>
    <t>Financial Risk Exposure</t>
  </si>
  <si>
    <t xml:space="preserve">
A risk exposure which is based in the institutions money holdings or the manner in which it is using those money holdings. 
It identifies that the holdings in an account are exposed to potential losses of a kind that is identified in a peril category.
    </t>
  </si>
  <si>
    <t>Financial Risk Factor Score</t>
  </si>
  <si>
    <t xml:space="preserve">
The rating of characteristics that have an impact on the likelihood of loss to occur. 
The rating of factors that contribute to financial risk.
    </t>
  </si>
  <si>
    <t>Financial Risk Position</t>
  </si>
  <si>
    <t xml:space="preserve">
The estimate of the possible loss for a financial risk exposure.
    </t>
  </si>
  <si>
    <t>Financial Risk Position  Assessed Account</t>
  </si>
  <si>
    <t xml:space="preserve">
This represents the account being assessed as part of a financial risk position.
    </t>
  </si>
  <si>
    <t>Financial Scheduler</t>
  </si>
  <si>
    <t xml:space="preserve">
The definition of how financial transactions are handled based on the information available on money provisions and its components (money provision element and money provision element part). 
While money provisions  only represent the definition of the amounts and their composition, the money scheduler defines how the money will be paid, when it will be paid and who will pay and receive it. 
A money scheduler is also responsible for creating the account entires that represent the necessary details of the created financial transactions. These details are derived from the money provision element parts that are attached to the money provisions for this money scheduler.
    </t>
  </si>
  <si>
    <t>Financial Scheduler  Day Of Month</t>
  </si>
  <si>
    <t xml:space="preserve">
The day of the month associated with the financial schedule, often associated with recurring events  (e.g. day of month due, day of month paid, etc.).
    </t>
  </si>
  <si>
    <t>Financial Scheduler  Effective Period</t>
  </si>
  <si>
    <t xml:space="preserve">
The time period at which the money scheduler is active.
    </t>
  </si>
  <si>
    <t>Financial Scheduler  First Due Date Time</t>
  </si>
  <si>
    <t xml:space="preserve">
The date (and time) at which the first amount of money is due for this scheduler.  This first amount of money itself is derived from the elements of the money provisions related to this scheduler.
    </t>
  </si>
  <si>
    <t>Financial Scheduler  Is Based On Specification</t>
  </si>
  <si>
    <t xml:space="preserve">
This represents the product specification (e.g. blueprint/design) that is the basis for a resulting financial scheduler.
    </t>
  </si>
  <si>
    <t>Financial Scheduler  Modal Amount</t>
  </si>
  <si>
    <t xml:space="preserve">
A regularly scheduled payment amount contractually obligated by the agreement.
    </t>
  </si>
  <si>
    <t>Financial Scheduler  Next Due Date Time</t>
  </si>
  <si>
    <t xml:space="preserve">
The date (and time) at which the next amount of money is due for this scheduler.
    </t>
  </si>
  <si>
    <t>Financial Scheduler  Payment Duration</t>
  </si>
  <si>
    <t xml:space="preserve">
This represents the amount/duration of time (e.g. 1 year, 3 months, etc.) associated with the payments.
    </t>
  </si>
  <si>
    <t>Financial Scheduler  Provided Financial Source Destination</t>
  </si>
  <si>
    <t xml:space="preserve">
This represents a financial source or destination in relation to a financial scheduler in a financial exchange.
    </t>
  </si>
  <si>
    <t>Financial Scheduler  Scheduled Financial Provision</t>
  </si>
  <si>
    <t xml:space="preserve">
This represents the financial provision associated with a financial scheduler (in support of a financial exchange).
    </t>
  </si>
  <si>
    <t>Financial Scheduler  Suspension Amount</t>
  </si>
  <si>
    <t xml:space="preserve">
The total monetary amount for which payment is suspended.
    </t>
  </si>
  <si>
    <t>Financial Scheduler Option Specification  Annuity Premium Type Code</t>
  </si>
  <si>
    <t xml:space="preserve">
Annuity Premium Type
    </t>
  </si>
  <si>
    <t>Financial Scheduler Option Specification  Payment Duration</t>
  </si>
  <si>
    <t>Financial Scheduler Option Specification  Payment Frequency Code</t>
  </si>
  <si>
    <t xml:space="preserve">
Frequency of payment
    </t>
  </si>
  <si>
    <t>Financial Scheduler Option Specification  Remittance Means Code</t>
  </si>
  <si>
    <t xml:space="preserve">
A code indicating the means by which remittance is handled.
    </t>
  </si>
  <si>
    <t>Financial Scheduler Option Specification  Remittance Type Code</t>
  </si>
  <si>
    <t xml:space="preserve">
Remittance Type
    </t>
  </si>
  <si>
    <t>Financial Scheduler Option Specification  Resulting Financial Schedule</t>
  </si>
  <si>
    <t xml:space="preserve">
This represents the resulting financial scheduler based on the product specification.
    </t>
  </si>
  <si>
    <t>Financial Scheduler Status</t>
  </si>
  <si>
    <t xml:space="preserve">
This represents the status of a financial scheduler.
    </t>
  </si>
  <si>
    <t>Financial Scheduler Status  Code</t>
  </si>
  <si>
    <t xml:space="preserve">
A code indicating the current status of the scheduler.
    </t>
  </si>
  <si>
    <t>Financial Services Agreement</t>
  </si>
  <si>
    <t xml:space="preserve">
An agreement between a financial services provider and a financial services role based on a  product specification. A financial services agreement is structured as marketable agreement, services agreement component, or agreement group.
e.g. An insurance policy is a financial services agreement where the owner of the agreement is the policyholder and the agreement specifies the obligation of the insurer to pay benefits and of the premium payer to pay premiums.
    </t>
  </si>
  <si>
    <t>Financial Services Agreement  Co Subscription Indicator</t>
  </si>
  <si>
    <t xml:space="preserve">
Indicates whether the contract is opened for a single subscription or whether a co-subscription is allowed.
    </t>
  </si>
  <si>
    <t>Financial Services Agreement  Tax Status Code</t>
  </si>
  <si>
    <t xml:space="preserve">
Defines whether the taxing is required. 
e.g: Compulsory 
e.g: Voluntary
    </t>
  </si>
  <si>
    <t>Financial Services Agreement Method</t>
  </si>
  <si>
    <t xml:space="preserve">
This represents a payment method involving another financial service agreement. For instance, a life insurance policy, an annuity, and a brokerage account are examples of financial services agreements that can be used as a method of payment.
    </t>
  </si>
  <si>
    <t>Financial Services Agreement Method  Utilized Financial Services Agreement</t>
  </si>
  <si>
    <t xml:space="preserve">
This represents the financial services agreement utilized for the financial services agreement method (e.g. a type of payment method).
    </t>
  </si>
  <si>
    <t>Financial Services Company Registration</t>
  </si>
  <si>
    <t xml:space="preserve">
This is the super type for all financial services company registrations.
    </t>
  </si>
  <si>
    <t>Financial Services Company Registration  Authorized Product Group</t>
  </si>
  <si>
    <t xml:space="preserve">
This represents the product group authorized by a financial services company registration.
    </t>
  </si>
  <si>
    <t>Financial Services Request</t>
  </si>
  <si>
    <t xml:space="preserve">
This concept describes an underwriting request that, if accepted by the company, will result in an insurance contract.
    </t>
  </si>
  <si>
    <t>Financial Services Request  Premium Commercial Reduction Rate</t>
  </si>
  <si>
    <t xml:space="preserve">
the premium of the whole contract can be multiplied by this ratio calculated by the back-end. This ratio is linked to the quality of the prospect.
    </t>
  </si>
  <si>
    <t>Financial Services Request  Premium Commercial Reduction Reason</t>
  </si>
  <si>
    <t xml:space="preserve">
free text to give the motive of the commercial reduction
    </t>
  </si>
  <si>
    <t>Financial Source</t>
  </si>
  <si>
    <t xml:space="preserve">
This concept represents a financial source utilized with other concepts, including but not limited to: financial schedules, financial activities, installments, payments.
    </t>
  </si>
  <si>
    <t>Financial Source  Compensated Financial Destination</t>
  </si>
  <si>
    <t xml:space="preserve">
This represents the financial destination being compensated by one or more financial sources.
    </t>
  </si>
  <si>
    <t>Financial Source Destination</t>
  </si>
  <si>
    <t xml:space="preserve">
This abstract super-type contains attributes relevant to both financial sources and destinations.
    </t>
  </si>
  <si>
    <t>Financial Source Destination  Amount</t>
  </si>
  <si>
    <t xml:space="preserve">
The applicable monetary amount for the financial source and/or destination.
    </t>
  </si>
  <si>
    <t>Financial Source Destination  Percent</t>
  </si>
  <si>
    <t xml:space="preserve">
The applicable percent for the financial source and/or destination.
    </t>
  </si>
  <si>
    <t>Financial Source Destination  Providing Financial Scheduler</t>
  </si>
  <si>
    <t xml:space="preserve">
This represents a financial scheduler in relation to a financial source or destination in a financial exchange.
    </t>
  </si>
  <si>
    <t>Financial Source Destination  Supported Financial Activity</t>
  </si>
  <si>
    <t xml:space="preserve">
This represents the financial activity supported by a financial source or destination in a financial exchange.
    </t>
  </si>
  <si>
    <t>Financial Source Destination  Unit Count</t>
  </si>
  <si>
    <t xml:space="preserve">
This represents a unit count (e.g. number of shares of stock).
    </t>
  </si>
  <si>
    <t>Financial Source Destination  Utilized Installment</t>
  </si>
  <si>
    <t xml:space="preserve">
This represents the installment utilized by a financial source or destination in a financial exchange.
    </t>
  </si>
  <si>
    <t>Financial Source Destination  Utilized Payment Method</t>
  </si>
  <si>
    <t xml:space="preserve">
This represents the payment method utilized by a financial source or destination in a financial exchange.
    </t>
  </si>
  <si>
    <t>Financial Transaction Card</t>
  </si>
  <si>
    <t xml:space="preserve">
This represents a card (e.g. credit card, debit card, etc.) utilized in support of a financial transaction (e.g. purchase).
    </t>
  </si>
  <si>
    <t>Financial Transaction Card  Authorizing Account Agreement</t>
  </si>
  <si>
    <t xml:space="preserve">
This represents the account agreement that authorizes a financial transaction card.
    </t>
  </si>
  <si>
    <t>Financial Transaction Card  Brand Code</t>
  </si>
  <si>
    <t>Financial Transaction Card  Identified Party Name</t>
  </si>
  <si>
    <t xml:space="preserve">
The name as it appears on the financial transaction card (e.g. credit card, debit card, etc.).
    </t>
  </si>
  <si>
    <t>Financial Transaction Card  Pin</t>
  </si>
  <si>
    <t xml:space="preserve">
A personal identification number (PIN, pronounced "pin"; often erroneously PIN number) is a secret password shared between a user and a system that can be used to authenticate the user to the system.
    </t>
  </si>
  <si>
    <t>Financial Transaction Card  Security Identifier</t>
  </si>
  <si>
    <t xml:space="preserve">
The card security identifier assigned to the card, typically assigned by the party that issued the card.
From Wikipedia:
The card security code "CSC" (also known as a "CCID" or Credit Card ID) is often asked for by merchants for them to secure card not present transactions occurring over the Internet, by mail, fax or over the phone. This code was first put into use by American Express Company in 1999 - 2000 in response to growing internet transactions and card member complaints of spending interruptions. In some countries in Western Europe, card processors require the merchant to provide this code when the cardholder is not present in person.
    </t>
  </si>
  <si>
    <t>Financial Transaction Medium</t>
  </si>
  <si>
    <t xml:space="preserve">
A medium used for performing financial transactions.
    </t>
  </si>
  <si>
    <t>Financial Transaction Medium  Currency Code</t>
  </si>
  <si>
    <t xml:space="preserve">
The code identifying the currency type (ISO-4217).
    </t>
  </si>
  <si>
    <t>Financial Transaction Medium  Expiration Date Time</t>
  </si>
  <si>
    <t xml:space="preserve">
The date (and time) on which the financial transaction medium ceases to be valid. 
e.g: For credit cards, this is the last day of the expiry month and year printed on the credit card; the credit card company will refuse to honor transactions dated after the expiry month and year (or expiry date) printed on the credit card.
    </t>
  </si>
  <si>
    <t>Financial Transaction Medium  Language Code</t>
  </si>
  <si>
    <t xml:space="preserve">
A code representing the language for the financial transaction medium. By default this should be the language of the account holder (see ISO 639).
    </t>
  </si>
  <si>
    <t>Financial Valuation</t>
  </si>
  <si>
    <t xml:space="preserve">
An assessment result expressed in financial units.
    </t>
  </si>
  <si>
    <t>Financial Valuation  Amount</t>
  </si>
  <si>
    <t xml:space="preserve">
The number when the assessed value is a discrete amount.  A null value indicates that the financial valuation is expressed as a range. 
e.g: 12,835 Euro
    </t>
  </si>
  <si>
    <t>Financial Valuation  Range End Amount</t>
  </si>
  <si>
    <t xml:space="preserve">
The upper limit when the assessed value is expressed as a range.
    </t>
  </si>
  <si>
    <t>Financial Valuation  Range Start Amount</t>
  </si>
  <si>
    <t xml:space="preserve">
The lower limit when the assessed value is expressed as a range.
    </t>
  </si>
  <si>
    <t>Financial Valuation  Type Code</t>
  </si>
  <si>
    <t xml:space="preserve">
A code identifying a valuation type.
    </t>
  </si>
  <si>
    <t>Financial Valuation  Valued Agreement Base</t>
  </si>
  <si>
    <t xml:space="preserve">
This represents an agreement or agreement component valued (e.g. assessed) by a financial valuation.
    </t>
  </si>
  <si>
    <t>Financial Valuation  Valued Assessment Result</t>
  </si>
  <si>
    <t xml:space="preserve">
This represents an assessment result valued by a financial valuation.
    </t>
  </si>
  <si>
    <t>FINRA</t>
  </si>
  <si>
    <t xml:space="preserve">
Financial Industry Regulatory Authority (FINRA)
    </t>
  </si>
  <si>
    <t>FIO</t>
  </si>
  <si>
    <t xml:space="preserve">
Federal Insurance Office (FIO)
    </t>
  </si>
  <si>
    <t>Fire Hydrant</t>
  </si>
  <si>
    <t xml:space="preserve">
A fire hydrant is an active fire protection measure, and a source of water provided in most urban, suburban and rural areas with municipal water service to enable firefighters to tap into the municipal water supply to assist in extinguishing a fire. Buildings (and/or property within) near a hydrant may qualify for an insurance discount since firefighters should be able to more rapidly extinguish a fire on the insured property.
    </t>
  </si>
  <si>
    <t>Fire Sprinkler System</t>
  </si>
  <si>
    <t xml:space="preserve">
A fire sprinkler system is an active fire protection measure, consisting of a water supply system, providing adequate pressure and flow-rate to a water distribution piping system, onto which fire sprinklers are connected.
    </t>
  </si>
  <si>
    <t>Fire Sprinkler System  Deluge Indicator</t>
  </si>
  <si>
    <t xml:space="preserve">
This indicates whether the system has a deluge feature. "Deluge" systems are systems in which all sprinklers connected to the water piping system are open, in that the heat sensing operating element is removed, or specifically designed as such.
    </t>
  </si>
  <si>
    <t>Fire Sprinkler System  Pre Action System Type Code</t>
  </si>
  <si>
    <t xml:space="preserve">
This represents the type of pre-action sprinkler system. Pre-action sprinkler systems are specialized for use in locations where accidental activation is undesired, such as in museums with rare art works, manuscripts, or books; and Data Centers, for protection of computer equipment from accidental water discharge.
    </t>
  </si>
  <si>
    <t>Fire Sprinkler System  Sprinklered Percent</t>
  </si>
  <si>
    <t xml:space="preserve">
The percentage of the structure that is covered by a sprinkler system.
    </t>
  </si>
  <si>
    <t>Fire Sprinkler System  Type Code</t>
  </si>
  <si>
    <t xml:space="preserve">
This code indicates the type of fire sprinkler system.
    </t>
  </si>
  <si>
    <t>Fire Station</t>
  </si>
  <si>
    <t xml:space="preserve">
A fire station (also called a fire house, fire hall, or firemen's hall) is a structure or other area set aside for storage of firefighting apparatus such as fire engines and related vehicles, personal protective equipment, fire hoses and other specialized equipment.
    </t>
  </si>
  <si>
    <t>Fireplace</t>
  </si>
  <si>
    <t xml:space="preserve">
This represents various aspects about the fireplace(s) of a structure.
    </t>
  </si>
  <si>
    <t>Fireplace  Type Code</t>
  </si>
  <si>
    <t xml:space="preserve">
This represents a type of fireplace.
    </t>
  </si>
  <si>
    <t>First Loss Insurance</t>
  </si>
  <si>
    <t xml:space="preserve">
1: Coverage that applies to only a single loss during the contract period or that provides coverage of multiple locations for only the first loss at each location during the contract period. 2: A contract whose limits are reduced (and not reinstated) by loss payments.
    </t>
  </si>
  <si>
    <t>First Party Damage</t>
  </si>
  <si>
    <t xml:space="preserve">
The condition of damage to the insured or to the members of the insured organization.
    </t>
  </si>
  <si>
    <t>Fiscal Domicile</t>
  </si>
  <si>
    <t xml:space="preserve">
This relationship links a party to its fiscal domicile.
A party's place of fiscal residence or business establishment, often relevant for tax purposes.
    </t>
  </si>
  <si>
    <t>Fiscal Domicile  Domiciled Place</t>
  </si>
  <si>
    <t xml:space="preserve">
This is the geographic place (country, state, etc.) of a party's fiscal domicile.
    </t>
  </si>
  <si>
    <t>Fiscal Domicile  Effective Period</t>
  </si>
  <si>
    <t xml:space="preserve">
Time period associated with a fiscal domicile.
e.g. John Smith lives in the state of Florida from June to September and lives in Ohio from October to May.
    </t>
  </si>
  <si>
    <t>Fiscal Domicile  Tax Code</t>
  </si>
  <si>
    <t xml:space="preserve">
Indicates primary or secondary tax.
    </t>
  </si>
  <si>
    <t>Fixed Premium Schedule</t>
  </si>
  <si>
    <t xml:space="preserve">
In life insurance, for fixed premium plans, the details in which the premiums will be paid. Some options include pay until maturity of the coverage, pay a specific number of payments, pay to a specified age, or one payment.
    </t>
  </si>
  <si>
    <t>Flat Cancellation</t>
  </si>
  <si>
    <t xml:space="preserve">
Cancellation of an insurance contract on the date that contract becomes effective.
    </t>
  </si>
  <si>
    <t>Flat Extra Premium Allowance</t>
  </si>
  <si>
    <t xml:space="preserve">
A fixed addition to the modal premium designed to offset the cost of a risk not included in the original cost basis.
    </t>
  </si>
  <si>
    <t>Fleet</t>
  </si>
  <si>
    <t xml:space="preserve">
This concept enables to grouping of vehicles. A fleet can either be a stand alone insurable entity or a schedule of vehicles.
    </t>
  </si>
  <si>
    <t>Fleet  Average Fleet Value Amount</t>
  </si>
  <si>
    <t xml:space="preserve">
The average fleet value (includes all vehicles that comprise the fleet).
    </t>
  </si>
  <si>
    <t>Fleet  First Fleet Insurance Indicator</t>
  </si>
  <si>
    <t xml:space="preserve">
Yes if never been insured before
    </t>
  </si>
  <si>
    <t>Fleet  Heavy Weight Vehicle Count</t>
  </si>
  <si>
    <t xml:space="preserve">
Number of heavy weight vehicles within the fleet
    </t>
  </si>
  <si>
    <t>Fleet  Light Weight Vehicle Count</t>
  </si>
  <si>
    <t xml:space="preserve">
Number of light weight vehicles within the fleet
    </t>
  </si>
  <si>
    <t>Fleet  Vehicle Count</t>
  </si>
  <si>
    <t xml:space="preserve">
number of vehicles to be insured
    </t>
  </si>
  <si>
    <t>FLMI</t>
  </si>
  <si>
    <t xml:space="preserve">
Fellow, Life Management Institute (FLMI)
    </t>
  </si>
  <si>
    <t>Floating Rate Insurance Plan</t>
  </si>
  <si>
    <t xml:space="preserve">
An insurance plan with an interest rate that varies depending upon the existing rate in the money market.
    </t>
  </si>
  <si>
    <t>Flood</t>
  </si>
  <si>
    <t xml:space="preserve">
A flood is an overflow of water that submerges land which is usually dry.
    </t>
  </si>
  <si>
    <t>Flood  Rainfall Measurement</t>
  </si>
  <si>
    <t xml:space="preserve">
The amount of rainfall recorded for the given event.
    </t>
  </si>
  <si>
    <t>Flood Community</t>
  </si>
  <si>
    <t xml:space="preserve">
A collection of data such as flood rating class, community number, flood rate map, etc. that provides information for rating and underwriting flood insurance for a specific geographical area. For example,in the US pieces of this information are provided by the Federal Emergency Management Association (FEMA).
    </t>
  </si>
  <si>
    <t>Flood Community Rate Class</t>
  </si>
  <si>
    <t xml:space="preserve">
A categorization that specifies the flood risk for a community as used in rating. In the US, a source of this code list is the Federal Emergency Management Agency (FEMA).
    </t>
  </si>
  <si>
    <t>Flood Information Source</t>
  </si>
  <si>
    <t xml:space="preserve">
This identifies the source of flood risk information. For example: flood map, mortgagee, community official, etc.
    </t>
  </si>
  <si>
    <t>Flood Insurance Rate Map</t>
  </si>
  <si>
    <t xml:space="preserve">
See Flood Map.
    </t>
  </si>
  <si>
    <t>Flood Insurance Rate Map Panel</t>
  </si>
  <si>
    <t xml:space="preserve">
This is a subset of the larger Flood Map. Note: this is used for pagination purposes only.
    </t>
  </si>
  <si>
    <t>Flood Insurance Rate Map Panel Number</t>
  </si>
  <si>
    <t xml:space="preserve">
This is number that identifies the individual panel (page) numbers within the larger Flood Map.
    </t>
  </si>
  <si>
    <t>Flood Map</t>
  </si>
  <si>
    <t xml:space="preserve">
A map of a community on which the jurisdiction has delineated both the special hazard areas and the risk premium zones applicable to the community. For example,in the US map is called the Flood Insurance Rate Map (FIRM).
    </t>
  </si>
  <si>
    <t>Flood Openings</t>
  </si>
  <si>
    <t xml:space="preserve">
This represents various aspects about openings (excluding doors) that are designed to allow the passage of flood waters through the structure (e.g. garage).
    </t>
  </si>
  <si>
    <t>Flood Openings  Elevation Above Adjacent Grade</t>
  </si>
  <si>
    <t xml:space="preserve">
This represents the elevation of the flood openings above the adjacent grade (of the ground).
    </t>
  </si>
  <si>
    <t>Flood Openings  Permanent Indicator</t>
  </si>
  <si>
    <t xml:space="preserve">
This indicates the flood openings in the structure are permanent.
    </t>
  </si>
  <si>
    <t>Flood Waiting Period</t>
  </si>
  <si>
    <t xml:space="preserve">
Describes the waiting period before a flood contract will be effective.
    </t>
  </si>
  <si>
    <t>Floors</t>
  </si>
  <si>
    <t xml:space="preserve">
This represents various aspects about the floors of a structure.
    </t>
  </si>
  <si>
    <t>Floors  Floor Number</t>
  </si>
  <si>
    <t xml:space="preserve">
This represents the floor number or letter for a given floor in a structure.
    </t>
  </si>
  <si>
    <t>Floors  Level Type Code</t>
  </si>
  <si>
    <t xml:space="preserve">
This indicates the level of the floor in a given structure (e.g. above ground, below grade, etc.).
    </t>
  </si>
  <si>
    <t>FLSA</t>
  </si>
  <si>
    <t xml:space="preserve">
Fair Labor Standards Act (FLSA)
    </t>
  </si>
  <si>
    <t xml:space="preserve">
Frequency Modulation (FM)
    </t>
  </si>
  <si>
    <t>FNOL</t>
  </si>
  <si>
    <t xml:space="preserve">
First Notice Of Loss (FNOL)
    </t>
  </si>
  <si>
    <t>Franchise Component</t>
  </si>
  <si>
    <t xml:space="preserve">
A franchise is similar to a deductible in that the insurer makes no settlement if the total claim is below the franchise figure. However, if the claim is above the franchise figure, the claim is paid in full. Franchises are very unusual in modern insurance practice though machinery breakdown covers sometimes use time franchises.
It can be interpreted in amount, percentage, time unit.
    </t>
  </si>
  <si>
    <t>Franchise Specification  Applies To Code</t>
  </si>
  <si>
    <t xml:space="preserve">
A code indicating that to which a franchise applies.
    </t>
  </si>
  <si>
    <t>Free Look Investment Rule</t>
  </si>
  <si>
    <t xml:space="preserve">
Provisions concerning how funds may be invested during the free look period of the contract.
    </t>
  </si>
  <si>
    <t>Free Look Period</t>
  </si>
  <si>
    <t xml:space="preserve">
The time period during which a consumer may cancel an insurance contract based upon the free look provision.
    </t>
  </si>
  <si>
    <t>Free Look Provision</t>
  </si>
  <si>
    <t xml:space="preserve">
A provision in which contract-holders have a certain period of time to examine their contracts with the right to cancel.
    </t>
  </si>
  <si>
    <t>Free Look Return Provision</t>
  </si>
  <si>
    <t xml:space="preserve">
How the premium refund will be made if a free look provision is exercised and the initial deposits were invested. Some examples include account value, Initial Deposit, Net Premium, Per Unit Basis, etc.
    </t>
  </si>
  <si>
    <t>Free Text Answer</t>
  </si>
  <si>
    <t xml:space="preserve">
An answer to a open question expressed as free text statement.
    </t>
  </si>
  <si>
    <t>Free Text Answer  Asked Question</t>
  </si>
  <si>
    <t xml:space="preserve">
This represents the asked question to which an answer is expected/provided.
e.g: The question: "Are you interested in this option?" has for free text answer: "Not at all."
e.g: The question: "Contact method used?" has for free text answer: "Letter".
    </t>
  </si>
  <si>
    <t>FROI</t>
  </si>
  <si>
    <t xml:space="preserve">
First Report Of Injury (FROI)
    </t>
  </si>
  <si>
    <t>Front End Load</t>
  </si>
  <si>
    <t xml:space="preserve">
A fee charged at the time of purchase of an insurance product or investment.
    </t>
  </si>
  <si>
    <t>Fronted</t>
  </si>
  <si>
    <t xml:space="preserve">
This concept represents the fronted role within a fronting agreement.
    </t>
  </si>
  <si>
    <t>Fronter</t>
  </si>
  <si>
    <t xml:space="preserve">
This concept represents the fronter role within a fronting agreement.
    </t>
  </si>
  <si>
    <t>Fronting Agreement</t>
  </si>
  <si>
    <t xml:space="preserve">
Fronting refers to the use of an insurer to issue paper, i.e., an insurance policy, on behalf of a self-insured organization or captive insurer without the intention of bearing any of the risk. 
The risk of loss is transferred back to the self-insured or captive insurer with an indemnity or reinsurance agreement. However, the fronting company (insurer) assumes a credit risk since it would be required to honor the obligations imposed by the policy if the self-insurer or captive failed to indemnify it. Fronting companies charge a fee for this service, generally between 5 and 10 percent of the premium being written. Fronting arrangements allow captives and self-insurers to comply with financial responsibility laws imposed by many states that require evidence of coverage written by an admitted insurer, such as for auto and workers compensation insurance. Fronting arrangements must also be used in business contracts with other organizations, such as leases and construction contracts, where evidence of coverage through an admitted insurer is also required.
Fronting is a device used for circumventing regulatory requirements, whereby an insurer who is not licensed in a particular country or state employs the services of a licensed local primary insurer to write a piece of business (which is otherwise produced or controlled by him) with the specific understanding that the entire risk would be transferred to him by way of reinsurance.
    </t>
  </si>
  <si>
    <t>Fronting Agreement  Governed Reinsurance Agreement</t>
  </si>
  <si>
    <t xml:space="preserve">
This represents the reinsurance agreement governed by a fronting agreement.
    </t>
  </si>
  <si>
    <t>FSA</t>
  </si>
  <si>
    <t xml:space="preserve">
Fellow of the Society of Actuaries (FSA); Flexible Spending Account (FSA)
    </t>
  </si>
  <si>
    <t>FSS</t>
  </si>
  <si>
    <t xml:space="preserve">
Financial Services Specialist (FSS)
    </t>
  </si>
  <si>
    <t>Full Time Employees Total Count</t>
  </si>
  <si>
    <t xml:space="preserve">
The total number of full time employees of a business.
    </t>
  </si>
  <si>
    <t>Fund</t>
  </si>
  <si>
    <t xml:space="preserve">
This concept represents a fund. A fund is a collection of financial assets jointly managed using the same strategy. Investment funds, unit trusts and OEICs (Open ended investment companies) are terms used to describe a pooled investment scheme that is divided into units or shares.
e.g: ABC's pension fund.
e.g: Failsafe Life's Small Companies Trust.
e.g: MIA Insurance's Far Eastern Securities Fund.
    </t>
  </si>
  <si>
    <t>Fund  Alias</t>
  </si>
  <si>
    <t xml:space="preserve">
Alias or additional name used to identify the fund.
    </t>
  </si>
  <si>
    <t>Fund  Currency Code</t>
  </si>
  <si>
    <t>Fund  Destination Fund</t>
  </si>
  <si>
    <t xml:space="preserve">
When funds are transfered from one to another, this is the destination fund.
    </t>
  </si>
  <si>
    <t>Fund  Domiciled Country</t>
  </si>
  <si>
    <t xml:space="preserve">
This is the country in which a fund is domiciled.
    </t>
  </si>
  <si>
    <t>Fund  Financial Risk</t>
  </si>
  <si>
    <t xml:space="preserve">
Values are [High, Medium, Low]
    </t>
  </si>
  <si>
    <t>Fund  Identifier</t>
  </si>
  <si>
    <t xml:space="preserve">
An identifier assigned to a fund for identification purposes.
    </t>
  </si>
  <si>
    <t>Fund  Internal Name</t>
  </si>
  <si>
    <t xml:space="preserve">
Internal name used to identify the fund.
    </t>
  </si>
  <si>
    <t>Fund  Investment Objective</t>
  </si>
  <si>
    <t xml:space="preserve">
Formal description of the goal the fund seeks to accomplish. 
Investment objectives include the description of financial goals (current income, or, capital appreciation), time horizon, level of investment risk (aggressive, neutral, defensive), target investment asset mix, target market mix. e.g: Dynamically managed fund, with a defensive investment profile, investing in shares and bonds in the grow markets in the BRIC countries; Brazil, Russia, India and China.
    </t>
  </si>
  <si>
    <t>Fund  Investment Objective Class Code</t>
  </si>
  <si>
    <t xml:space="preserve">
The categorization of the investment objective of the fund.
    </t>
  </si>
  <si>
    <t>Fund  Investment Scope Code</t>
  </si>
  <si>
    <t xml:space="preserve">
The types of assets composing the fund. 
e.g: Bond 
e.g: Bond + Share + Cash 
e.g: Cash 
e.g: Cash + Bond 
e.g: Mixed 
e.g: Mutual fund 
e.g: Property 
e.g: Share (equity)
    </t>
  </si>
  <si>
    <t>Fund  Registering Fund Registration</t>
  </si>
  <si>
    <t xml:space="preserve">
This represents an fund registration (e.g. a registration applicable to a particular fund).
    </t>
  </si>
  <si>
    <t>Fund  Source Fund</t>
  </si>
  <si>
    <t xml:space="preserve">
When funds are transfered from one to another, this is the source fund.
    </t>
  </si>
  <si>
    <t>Fund  Statement Of Investment Principles</t>
  </si>
  <si>
    <t xml:space="preserve">
Formal statement describing the principles applied when managing the investments of the fund.
    </t>
  </si>
  <si>
    <t>Fund  Utilized Fund Update Rule</t>
  </si>
  <si>
    <t xml:space="preserve">
This represents the fund update rule being utilized by the fund.
    </t>
  </si>
  <si>
    <t>Fund Category</t>
  </si>
  <si>
    <t xml:space="preserve">
This concept specifies a fund category.
    </t>
  </si>
  <si>
    <t>Fund Holding</t>
  </si>
  <si>
    <t xml:space="preserve">
This concept details the account of the insurer by fund, which is a financial statement, by fund owned by the insurer.
    </t>
  </si>
  <si>
    <t>Fund Holding  Manager</t>
  </si>
  <si>
    <t xml:space="preserve">
This represents the party role "fund manager" of a fund holding.
    </t>
  </si>
  <si>
    <t>Fund Holding  Tracked Fund</t>
  </si>
  <si>
    <t xml:space="preserve">
This represents a fund tracked by an asset holding.
    </t>
  </si>
  <si>
    <t>Fund Holding Rule</t>
  </si>
  <si>
    <t xml:space="preserve">
This concept defines rules that have been chosen regarding a portfolio account.
    </t>
  </si>
  <si>
    <t>Fund Holding Rule  Governed Fund Holding</t>
  </si>
  <si>
    <t xml:space="preserve">
This represents the fund holding governed by a fund holding rule.
    </t>
  </si>
  <si>
    <t>Fund Holding Rule  Used In Process Orders Indicator</t>
  </si>
  <si>
    <t xml:space="preserve">
If true, then this rule applies for process orders.
    </t>
  </si>
  <si>
    <t>Fund Manager</t>
  </si>
  <si>
    <t xml:space="preserve">
An organization whose role it is to manage the investments of a fund.
    </t>
  </si>
  <si>
    <t>Fund Registration</t>
  </si>
  <si>
    <t xml:space="preserve">
A formal recording by an authorized body of a fund managed by a financial services company.
    </t>
  </si>
  <si>
    <t>Fund Registration  Exchange Traded Code</t>
  </si>
  <si>
    <t xml:space="preserve">
It identifies the Exchange upon which the organization is traded.
It is the name of the Stock Market.
    </t>
  </si>
  <si>
    <t>Fund Registration  Registered Fund</t>
  </si>
  <si>
    <t xml:space="preserve">
This represents the registered fund (e.g. the fund to which a fund registration applies).
    </t>
  </si>
  <si>
    <t>Fund Status</t>
  </si>
  <si>
    <t xml:space="preserve">
This represents the status of a fund.
    </t>
  </si>
  <si>
    <t>Fund Status  Code</t>
  </si>
  <si>
    <t xml:space="preserve">
Fund status
    </t>
  </si>
  <si>
    <t>Fund Update Rule</t>
  </si>
  <si>
    <t xml:space="preserve">
This concept describes the option of update of the fund values.
    </t>
  </si>
  <si>
    <t>Fund Update Rule  Automatic Indicator</t>
  </si>
  <si>
    <t xml:space="preserve">
If yes, then the funds will be automatically updated based on this rule.
    </t>
  </si>
  <si>
    <t>Fund Update Rule  Description</t>
  </si>
  <si>
    <t xml:space="preserve">
The nature of the fund update rule.
e.g. Sell when fund reaches certain value.
    </t>
  </si>
  <si>
    <t>Fund Update Rule  Frequency Code</t>
  </si>
  <si>
    <t xml:space="preserve">
Frequency at which this rule is applied.
    </t>
  </si>
  <si>
    <t>Fund Update Rule  Last Applied Date Time</t>
  </si>
  <si>
    <t xml:space="preserve">
The last date (and time) an update was applied.
    </t>
  </si>
  <si>
    <t>Future</t>
  </si>
  <si>
    <t xml:space="preserve">
A derivative holding the conditions at which the buyer and seller agree to deliver goods in the future at an agreed price. Those conditions are defined by a futures contract. Futures are often used as a hedging device against interest rates or price risk.
    </t>
  </si>
  <si>
    <t>Future Indemnity Payment Present Value</t>
  </si>
  <si>
    <t xml:space="preserve">
The monetary value that constitutes the present value of total future indemnity payments amount.
    </t>
  </si>
  <si>
    <t>Futures Agreement</t>
  </si>
  <si>
    <t xml:space="preserve">
A derivative agreement that defines the terms and conditions applicable to a future.
    </t>
  </si>
  <si>
    <t>FV</t>
  </si>
  <si>
    <t xml:space="preserve">
Fund Value (FV)
    </t>
  </si>
  <si>
    <t>Garage Component</t>
  </si>
  <si>
    <t xml:space="preserve">
This represents various aspects about a garage.
    </t>
  </si>
  <si>
    <t>Garage Component  Type Code</t>
  </si>
  <si>
    <t xml:space="preserve">
A code indicating the type of garage.
    </t>
  </si>
  <si>
    <t>GATTS</t>
  </si>
  <si>
    <t xml:space="preserve">
General Aviation Training and Testing Service (GATTS)
    </t>
  </si>
  <si>
    <t>GBA</t>
  </si>
  <si>
    <t xml:space="preserve">
Group Benefits Associate (GBA)
    </t>
  </si>
  <si>
    <t>GC</t>
  </si>
  <si>
    <t xml:space="preserve">
Gas Chromatography (GC)
    </t>
  </si>
  <si>
    <t>GC/MS</t>
  </si>
  <si>
    <t xml:space="preserve">
Gas Chromatography Mass Spectrometry (GC/MS)
    </t>
  </si>
  <si>
    <t>GDV</t>
  </si>
  <si>
    <t xml:space="preserve">
Gesamtverband der Deustchen Versicherungswirtschaft (GDV)
    </t>
  </si>
  <si>
    <t>Gender Rate Basis</t>
  </si>
  <si>
    <t xml:space="preserve">
The gender rate basis under which the coverage was issued. This is typically used in Life to calculate to premium rates.
    </t>
  </si>
  <si>
    <t>General Account</t>
  </si>
  <si>
    <t xml:space="preserve">
An generalization for internal accounts created to represent the allocation of funds for specific purposes.
    </t>
  </si>
  <si>
    <t>General Account Entry</t>
  </si>
  <si>
    <t xml:space="preserve">
A generalization for the types of entries that related to GeneralAccounts (see the description for GeneralAccount). 
The reserve concept is fully illustrated, but it's likely implementers will expand GeneralAccountEntry subtypes to account for the various types of general accounts.
    </t>
  </si>
  <si>
    <t>General Ownership Information</t>
  </si>
  <si>
    <t xml:space="preserve">
This party detail subtype provides a link between parties and the physical objects they own.
This concept includes total ownership information derived from individual ownership relationships.
    </t>
  </si>
  <si>
    <t>General Ownership Information  Amount</t>
  </si>
  <si>
    <t xml:space="preserve">
The total value of something owned by the party.
    </t>
  </si>
  <si>
    <t>General Ownership Information  Count</t>
  </si>
  <si>
    <t xml:space="preserve">
The total count of something owned by the party (e.g. count of properties).
    </t>
  </si>
  <si>
    <t>General Ownership Information  Owned Physical Object</t>
  </si>
  <si>
    <t xml:space="preserve">
This represents a physical object owned by a party.
    </t>
  </si>
  <si>
    <t>General Ownership Information  Type Code</t>
  </si>
  <si>
    <t xml:space="preserve">
A code indicating a class of ownership associated with a party.
    </t>
  </si>
  <si>
    <t>Geographic Region</t>
  </si>
  <si>
    <t xml:space="preserve">
Region is most commonly found as a term used in terrestrial and astrophysics sciences also an area, notably among the different sub-disciplines of geography, studied by regional geographers. Region is not limited to land and can include bodies of water (e.g. coastal region, tidal water, etc.).
    </t>
  </si>
  <si>
    <t>Geriatric Assessment</t>
  </si>
  <si>
    <t xml:space="preserve">
An evaluation of an older adult's medical condition, cognitive capacity and physical and psychological health, used to determine caregiver and environmental needs. This is typically used in nursing home insurance.
    </t>
  </si>
  <si>
    <t>GFR</t>
  </si>
  <si>
    <t xml:space="preserve">
Glomerular Filtration Rate (GFR)
    </t>
  </si>
  <si>
    <t>GGT</t>
  </si>
  <si>
    <t xml:space="preserve">
Gamma-Glutamyl Transpeptidase (GGTP)
    </t>
  </si>
  <si>
    <t>GGTP</t>
  </si>
  <si>
    <t>GIC</t>
  </si>
  <si>
    <t xml:space="preserve">
Guaranteed Investment Contract (GIC)
    </t>
  </si>
  <si>
    <t xml:space="preserve">
General Liability (GL)
    </t>
  </si>
  <si>
    <t>Global Position Address</t>
  </si>
  <si>
    <t xml:space="preserve">
This concept define coordinates associated to a site (geographical situation).
It can be used to localize an object, a claim zone, etc.
A geographic coordinate system is a coordinate system that enables every location on Earth to be specified in three coordinates, using mainly a spherical coordinate system.
The Earth is not a sphere, but an irregular shape approximating an ellipsoid; the challenge is to define a coordinate system that can accurately state each topographical point as an unambiguous tuple of numbers. [1]
Attributes in this concept may need to be added for things like geodetic systems.
    </t>
  </si>
  <si>
    <t>Global Position Address  Coordinate System Code</t>
  </si>
  <si>
    <t xml:space="preserve">
Defines the system code used for the coordinates.
    </t>
  </si>
  <si>
    <t>Global Position Address  Elevation</t>
  </si>
  <si>
    <t xml:space="preserve">
This represents the elevation of a geographic location is its height above or below a fixed reference point, most commonly a reference geoid, a mathematical model of the Earth's sea level as an equipotential gravitational surface (see Geodetic system, vertical datum).
    </t>
  </si>
  <si>
    <t>Global Position Address  Latitude</t>
  </si>
  <si>
    <t xml:space="preserve">
Latitude is the angle from a point on the Earth's surface to the equatorial plane, measured from the center of the sphere. Lines joining points of the same latitude are called parallels, which trace concentric circles on the surface of the Earth, parallel to the equator. The north pole is 90° N; the south pole is 90° S. The 0° parallel of latitude is designated the equator, the fundamental plane of all geographic coordinate systems. The equator divides the globe into Northern and Southern Hemispheres.
    </t>
  </si>
  <si>
    <t>Global Position Address  Longitude</t>
  </si>
  <si>
    <t xml:space="preserve">
The angular distance east or west on the earth's surface, measured by the angle contained between the meridian of a particular place and some prime meridian, as that of Greenwich, England, and expressed either in degrees or by some corresponding difference in time.
    </t>
  </si>
  <si>
    <t>GNEPI</t>
  </si>
  <si>
    <t xml:space="preserve">
Gross Net Earned Premium Income (GNEPI)
    </t>
  </si>
  <si>
    <t>GNPI</t>
  </si>
  <si>
    <t xml:space="preserve">
Gross Net Premium Income (GNPI)
    </t>
  </si>
  <si>
    <t>GNWPI</t>
  </si>
  <si>
    <t xml:space="preserve">
Gross Net Earned Written Income (GNWPI)
    </t>
  </si>
  <si>
    <t>Good Student</t>
  </si>
  <si>
    <t xml:space="preserve">
A person who is a student who has a good academic record for the purpose of qualifying for a discount in the contract premium. (Note: the definition of good is defined by the individual insurance carriers).
    </t>
  </si>
  <si>
    <t>GOT</t>
  </si>
  <si>
    <t xml:space="preserve">
Glutamic-Oxaloacetic Transaminase (GOT)
    </t>
  </si>
  <si>
    <t>Government Body</t>
  </si>
  <si>
    <t xml:space="preserve">
A government or community organization that is responsible for public policy. 
e.g: Bloomington Tax office.
e.g: Medina Historical Society
    </t>
  </si>
  <si>
    <t>GPT</t>
  </si>
  <si>
    <t xml:space="preserve">
Glutamate Pyruvate Transaminase (GPT)
    </t>
  </si>
  <si>
    <t>Grace Period</t>
  </si>
  <si>
    <t xml:space="preserve">
Period after the date the premium is due during which the premium can be paid with no interest charged and the contract remains in force.
    </t>
  </si>
  <si>
    <t>Graphics Designer</t>
  </si>
  <si>
    <t xml:space="preserve">
This represents the party role of graphics designer. The responsibilities of a graphics designer include, but are not limited to producing designs that align with the campaign for which they are created, typically doing so with a visual focus or appeal. The scope of work is broad, including and not limited to books, magazines, brochures, displays, packaging, web pages, and the like.
    </t>
  </si>
  <si>
    <t>Gross (Original) From Group Up (FGU)</t>
  </si>
  <si>
    <t xml:space="preserve">
The total gross loss arising from the event that caused the claim, irrespective of any insurance or reinsurance cover applicable. This may instead be provided separately in supporting documents, or may not be calculable by the cedent or the broker.
    </t>
  </si>
  <si>
    <t>Gross Net Earned Premium Income (GNEPI)</t>
  </si>
  <si>
    <t xml:space="preserve">
The usual rating base for excess of loss reinsurance. It represents the earned premiums of the primary company for the lines of business covered net, meaning after cancellation, refunds, and premiums paid for any reinsurance protecting the cover being rated, but gross, meaning before deducting the premium for the cover being rated.
    </t>
  </si>
  <si>
    <t>Gross Net Earned Written Income (GNWPI)</t>
  </si>
  <si>
    <t xml:space="preserve">
Gross written premium less returned premiums and premiums paid for reinsurance which inures to the benefit of the cover in question. Its purpose is to create a base to which the reinsurance rate is applied. Similar to Gross Net Earned Premium Income (GNEPI) except premiums are written instead of earned.
    </t>
  </si>
  <si>
    <t>Gross Net Premium Income (GNPI)</t>
  </si>
  <si>
    <t xml:space="preserve">
The ceding company's premium income and receipts measured net, meaning after cancellations, refunds, and premiums paid for reinsurance.
    </t>
  </si>
  <si>
    <t>Gross Premium</t>
  </si>
  <si>
    <t xml:space="preserve">
The entire premium to be paid for the contract.
    </t>
  </si>
  <si>
    <t>Gross Premium Receiver Share Amount</t>
  </si>
  <si>
    <t xml:space="preserve">
Total premiums before deduction of original commissions, brokerage, discounts and reinsurance premiums.
    </t>
  </si>
  <si>
    <t>Gross Sales Previous Year</t>
  </si>
  <si>
    <t xml:space="preserve">
Total amount of gross revenue reported for the prior year end.
    </t>
  </si>
  <si>
    <t>Group</t>
  </si>
  <si>
    <t xml:space="preserve">
A group is a generic grouping of parties. This can be used to group together parties in whatever way is appropriate, such as  (e.g. clubs, societies, charities, interest groups, households, etc.).
    </t>
  </si>
  <si>
    <t>Group Agreement</t>
  </si>
  <si>
    <t xml:space="preserve">
An insurance policy between the modeled organization and members of that organization  (such as the employees of a company). The group of people to be insured should have something in common other than the purpose of obtaining insurance.
e.g. A group policy providing a term life coverage to all permanent employees of Acme Company.
    </t>
  </si>
  <si>
    <t>Group Manager</t>
  </si>
  <si>
    <t xml:space="preserve">
This represents the role played by the party that is a manager of a group membership.
e.g: Pat Smith, as the group manager of... (e.g. a group membership that qualifies for coverage, that qualifies for discounts, a club, etc.).
    </t>
  </si>
  <si>
    <t>Group Member</t>
  </si>
  <si>
    <t xml:space="preserve">
This represents the role played by the party that is a member of a group membership.
e.g: Pat Smith, as the group member of... (e.g. a group membership that qualifies for coverage, that qualifies for discounts, a club, etc.).
    </t>
  </si>
  <si>
    <t>Group Membership</t>
  </si>
  <si>
    <t xml:space="preserve">
This concept defines the membership of a group via its members and manager.
    </t>
  </si>
  <si>
    <t>Group Role In Agreement</t>
  </si>
  <si>
    <t xml:space="preserve">
This represents a party role played collectively by those parties who comprise a group in relation to an agreement or an agreement component (e.g. a coverage).
Typically, this role is most relevant to group insurance and represents the group that is eligible for same. 
For example, a group insurance policy for "group dental" might include all the employees of an organization (another example would involve group insurance marketed to all the customers of an organization). The fact that they are participants in the group does not mean they are covered; rather, this is simply an acknowledgment of those who are eligible for the group insurance. Each member of the group usually has the option to "opt-in" to obtain coverage or to "opt-out" of the group insurance.
    </t>
  </si>
  <si>
    <t>GTT</t>
  </si>
  <si>
    <t xml:space="preserve">
Glucose Tolerance Test (GTT)
    </t>
  </si>
  <si>
    <t>Guaranteed Minimum Death Benefit</t>
  </si>
  <si>
    <t xml:space="preserve">
A variable annuity promise that often equals the greater of the cash value or the amount invested in the contract if the annuity owner dies during the accumulation period.
    </t>
  </si>
  <si>
    <t>Guaranteed Payout Amount</t>
  </si>
  <si>
    <t xml:space="preserve">
The payout amount is based upon the guaranteed rates of a particular product.
    </t>
  </si>
  <si>
    <t>Guaranteed Renewable Contract</t>
  </si>
  <si>
    <t xml:space="preserve">
An individual health insurance contract that requires the insurer to renew the contract - as long as premium payments are made - at least until the insured attains a specified age. The insurer can change premium rates for broad classes of insured but not for an individual insured.
    </t>
  </si>
  <si>
    <t>Guarantor</t>
  </si>
  <si>
    <t xml:space="preserve">
A role player who undertakes, in full or in part, the financial responsibility for a financial services agreement between two other role players, in the event that the original contracting party is unable to fulfill its obligations.
e.g: A party who guarantees a specific capital expansion loan agreement. 
e.g: A person who guarantees the premium payment of a life insurance policy.
    </t>
  </si>
  <si>
    <t>Guarantor  Guarantee Limit Amount</t>
  </si>
  <si>
    <t xml:space="preserve">
The maximum amount which this guarantor agrees to guarantee.
    </t>
  </si>
  <si>
    <t>Guideline Annual Premium</t>
  </si>
  <si>
    <t xml:space="preserve">
This is the premium that needs to be paid for all years to endow the contract, based on guaranteed assumptions. (The Guideline Annual Premium is determined using assumptions specified in Internal Revenue Code Section 7702, and used in the test for whether a contract qualifies as life insurance. This is a US specific property.)
    </t>
  </si>
  <si>
    <t>Guideline Premium</t>
  </si>
  <si>
    <t xml:space="preserve">
A premium defined in Universal Life insurance policies as the maximum premium payable that will qualify the contract as life insurance for federal income tax purposes.
    </t>
  </si>
  <si>
    <t>Guideline Premium Calculation Face Amount</t>
  </si>
  <si>
    <t xml:space="preserve">
The monetary value of the face amount used for a coverage's guideline premium calculation. This is almost always the same as the current face. In some situations, such as in an integrated term rider, there could be a difference.
    </t>
  </si>
  <si>
    <t>Guideline Single Premium</t>
  </si>
  <si>
    <t xml:space="preserve">
The amount of premium paid in a one-time lump sum on the issue date of the contract where the cash value will equal the specified amount at a specific age (e.g. 100) based on individual Insurance Company's assumptions (a specified interest rate, CSO tables, etc.) (Applies to Universal Life only).
    </t>
  </si>
  <si>
    <t>GYN</t>
  </si>
  <si>
    <t xml:space="preserve">
Gynecology (GYN)
    </t>
  </si>
  <si>
    <t>HAA</t>
  </si>
  <si>
    <t xml:space="preserve">
Hemoglobin-Associated Acetaldehyde (HAA)
    </t>
  </si>
  <si>
    <t>Haboob</t>
  </si>
  <si>
    <t xml:space="preserve">
A violent dust storm or sandstorm especially of Sudan.
    </t>
  </si>
  <si>
    <t>Hailstorm</t>
  </si>
  <si>
    <t xml:space="preserve">
This represents a thunderstorm that produces hail.
    </t>
  </si>
  <si>
    <t>Hailstorm  Average Hail Size Measurement</t>
  </si>
  <si>
    <t xml:space="preserve">
The average size of hail stones in a hailstorm.
    </t>
  </si>
  <si>
    <t>Hang Gliding Experience</t>
  </si>
  <si>
    <t xml:space="preserve">
This represents hang-gliding experience as a lifestyle activity (e.g. leisure pursuit).
    </t>
  </si>
  <si>
    <t>Hangar</t>
  </si>
  <si>
    <t xml:space="preserve">
A hangar is a closed structure to hold aircraft or spacecraft in protective storage.
    </t>
  </si>
  <si>
    <t>HAWT</t>
  </si>
  <si>
    <t xml:space="preserve">
Horizontal-Axis Wind Turbine (HAWT)
    </t>
  </si>
  <si>
    <t>Hazard Grade</t>
  </si>
  <si>
    <t xml:space="preserve">
An insurance industry code used to specify the level of risk. A hazard is a "circumstance that would increase the likelihood and severity of a loss". In general for commercial lines, each class has a separate hazard grade for a specific line of business. The source of this code list is the individual insurer and/or A.M. Best.
    </t>
  </si>
  <si>
    <t>Hazardous Material Handling</t>
  </si>
  <si>
    <t xml:space="preserve">
The particular activity of performing a specified operation on an object that is of a particular type.
e.g: Asbestos removal from European Commission Offices in Brussels
e.g: Subterranean storage of nuclear waste at the Acme Nuclear Laboratory site
    </t>
  </si>
  <si>
    <t>HBeAb</t>
  </si>
  <si>
    <t xml:space="preserve">
Hepatitis B E-Antibody (HBeAb0
    </t>
  </si>
  <si>
    <t>HBeAg</t>
  </si>
  <si>
    <t xml:space="preserve">
Hepatitis B E-Antigen (HBeAg)
    </t>
  </si>
  <si>
    <t>HBsAg</t>
  </si>
  <si>
    <t xml:space="preserve">
Hepatitis B Surface Antigen (HBsAg)
    </t>
  </si>
  <si>
    <t>HCG</t>
  </si>
  <si>
    <t xml:space="preserve">
Human Chorionic Gonadotropin (HCG)
    </t>
  </si>
  <si>
    <t>HCV</t>
  </si>
  <si>
    <t xml:space="preserve">
Hepatitis C Virus (HCV)
    </t>
  </si>
  <si>
    <t>HD</t>
  </si>
  <si>
    <t xml:space="preserve">
High Definition (HD)
    </t>
  </si>
  <si>
    <t>HDL</t>
  </si>
  <si>
    <t xml:space="preserve">
High-density Lipoprotein (HDL)
    </t>
  </si>
  <si>
    <t>Head Of Household</t>
  </si>
  <si>
    <t xml:space="preserve">
A party role for the person, regardless of marital status, who maintains a household for a dependent (or non-dependent relative) and provides more than half of the dependent's financial support.
    </t>
  </si>
  <si>
    <t>Head Of Household  Headed Household</t>
  </si>
  <si>
    <t xml:space="preserve">
This represents the household relationship in which the head of household participates.
    </t>
  </si>
  <si>
    <t>Head Of Household  Maintenance Percentage</t>
  </si>
  <si>
    <t xml:space="preserve">
Head Of Household has several meanings:
1. The leader or person primarily responsible for a family.
2. An American tax filing status, the definition of which is:
Generally, to qualify for head of household status you must be unmarried, not entitled to file as a qualifying widow or widower, and have a dependent child. You must also have provided more than half the cost of maintaining, as your home, a household that was the main home for a qualifying dependent. You may also qualify for head of household status if you, though married, file a separate return and your spouse was not a member of your household during the last six months of the tax year and you provided more than half of the cost of maintaining, as your home, a household that was the main home, for more than one half of your tax year, of a child who is a qualifying dependent.
    </t>
  </si>
  <si>
    <t>Health Care Provider</t>
  </si>
  <si>
    <t xml:space="preserve">
Any professional or institution providing health care goods or services to patients. 
e.g: Assisted Living Facility: a facility that provides health care services for people who require assistance with activities of daily living. 
e.g: Dental Service Corporation: professional group incorporated and organized on a non-profit basis to provide dental care to consumer groups. 
e.g: Health Maintenance Organization (HMO): organization that provides for a wide range of comprehensive health care services for a specified group at a fixed periodic prepayment. 
e.g: Physician, hospital, pharmacist, nurse.
    </t>
  </si>
  <si>
    <t>Health Care Provider  Providing Health Institution</t>
  </si>
  <si>
    <t xml:space="preserve">
This represents a health care institution that provides services for a health care provider.
    </t>
  </si>
  <si>
    <t>Health Care Provider  Registering Health Care Provider Registration</t>
  </si>
  <si>
    <t xml:space="preserve">
This represents the health care provider registration to which a health care provider is a registrant.
    </t>
  </si>
  <si>
    <t>Health Care Provider Registration</t>
  </si>
  <si>
    <t xml:space="preserve">
An official registration of a health care provider by the modeled organization or any other official authority. 
e.g: Dr. Luigi's health care provider registration as a member of the Belgian National Council of Physicians
    </t>
  </si>
  <si>
    <t>Health Care Provider Registration  Registrant</t>
  </si>
  <si>
    <t xml:space="preserve">
This represents the registered health care provider (e.g. registrant) of a health care provider registration.
    </t>
  </si>
  <si>
    <t>Health Care Provider Registration  Taxonomy Code</t>
  </si>
  <si>
    <t xml:space="preserve">
Code designating the provider type, classification, and specialization.
    </t>
  </si>
  <si>
    <t>Health Coverage</t>
  </si>
  <si>
    <t xml:space="preserve">
This insurance coverage class is used to express health insurance benefits.
    </t>
  </si>
  <si>
    <t>Health Coverage Specification  Type Code</t>
  </si>
  <si>
    <t xml:space="preserve">
This represents a health coverage.
    </t>
  </si>
  <si>
    <t>Health History</t>
  </si>
  <si>
    <t xml:space="preserve">
A form used by underwriters to assist in evaluating groups or individuals to determine whether they are acceptable risks. For individuals, also referred to as Personal health statement.
    </t>
  </si>
  <si>
    <t>Health Institution</t>
  </si>
  <si>
    <t xml:space="preserve">
This concept gives details about an Health Institution.
    </t>
  </si>
  <si>
    <t>Health Institution  Produced Evaluation</t>
  </si>
  <si>
    <t xml:space="preserve">
This represents the health institution evaluation produced by a health institution.
    </t>
  </si>
  <si>
    <t>Health Institution  Virtual Indicator</t>
  </si>
  <si>
    <t xml:space="preserve">
This indicates the Health Organization is virtual.
    </t>
  </si>
  <si>
    <t>Health Institution Evaluation</t>
  </si>
  <si>
    <t xml:space="preserve">
This concept provides details on the evaluation conducted by a Health Institution or a Medical Unit.
    </t>
  </si>
  <si>
    <t>Healthcare Provider</t>
  </si>
  <si>
    <t xml:space="preserve">
A person or organization providing services in the field concerned with the maintenance or restoration of the health of the body or mind
    </t>
  </si>
  <si>
    <t>Hearse</t>
  </si>
  <si>
    <t xml:space="preserve">
A hearse is a funerary vehicle used to carry a coffin from a church or funeral home to a cemetery. In the funeral trade, hearses are often called funeral coaches.
    </t>
  </si>
  <si>
    <t>Hearse Specification</t>
  </si>
  <si>
    <t xml:space="preserve">
This represents the specification of the characteristics of a hearse.
    </t>
  </si>
  <si>
    <t>Heating</t>
  </si>
  <si>
    <t xml:space="preserve">
This represents various aspects about the heating of a structure.
    </t>
  </si>
  <si>
    <t>Heating  Fuel Type Code</t>
  </si>
  <si>
    <t xml:space="preserve">
This represents the type of fuel utilized by the heating unit/system.
    </t>
  </si>
  <si>
    <t>Heating  Method Type Code</t>
  </si>
  <si>
    <t xml:space="preserve">
This represents the heating method utilized by the heating unit/system.
    </t>
  </si>
  <si>
    <t>Heating  Source Type Code</t>
  </si>
  <si>
    <t xml:space="preserve">
This indicates the type of heating source/system (e.g. primary, supplemental).
    </t>
  </si>
  <si>
    <t>Heating  Type Code</t>
  </si>
  <si>
    <t xml:space="preserve">
This indicates the type of heating.
    </t>
  </si>
  <si>
    <t>Heating And Cooling</t>
  </si>
  <si>
    <t xml:space="preserve">
This represents various aspects about the heating and/or air conditioning of a structure.
    </t>
  </si>
  <si>
    <t>Heating And Cooling  Ducts Indicator</t>
  </si>
  <si>
    <t xml:space="preserve">
This indicates the heating/cooling system utilizes ducts.
    </t>
  </si>
  <si>
    <t>Heating And Cooling  Multiple Zones Indicator</t>
  </si>
  <si>
    <t xml:space="preserve">
This indicates the heating/cooling system utilizes multiple zones.
    </t>
  </si>
  <si>
    <t>Heating And Cooling  Returns Indicator</t>
  </si>
  <si>
    <t xml:space="preserve">
This indicates the heating/cooling system utilizes air returns.
    </t>
  </si>
  <si>
    <t>Heating And Cooling  Thermostatic Control Indicator</t>
  </si>
  <si>
    <t xml:space="preserve">
This indicates the heating/cooling system utilizes thermostatic control(s).
    </t>
  </si>
  <si>
    <t>Heating Unit Protective Material</t>
  </si>
  <si>
    <t xml:space="preserve">
Identifies the type of protective material or shielding associated with a heat source. (e.g. bricks, ceramic tile)
    </t>
  </si>
  <si>
    <t>Herd</t>
  </si>
  <si>
    <t xml:space="preserve">
This general concept describes a group of animals.  The animals in this concept are usually not scheduled.
    </t>
  </si>
  <si>
    <t>Historic Home District</t>
  </si>
  <si>
    <t xml:space="preserve">
The indication of whether or not the structure is located within a designated Historic Home District.
    </t>
  </si>
  <si>
    <t>HIV</t>
  </si>
  <si>
    <t xml:space="preserve">
Human Immunodeficiency Virus (HIV)
    </t>
  </si>
  <si>
    <t>Holding</t>
  </si>
  <si>
    <t xml:space="preserve">
One or more financial products purchased or soon to be purchased under one owner, such as an insurance contract or mutual fund.
    </t>
  </si>
  <si>
    <t>Holding Form</t>
  </si>
  <si>
    <t xml:space="preserve">
Designates the basic form (legal attributes) of the contract. A group contract would be in a group master contract, an individual contract is on an insurance form filed with the jurisdiction. An Investment may be a stock certificate, a blip in an investment company file, etc.
    </t>
  </si>
  <si>
    <t>Holding Purpose</t>
  </si>
  <si>
    <t xml:space="preserve">
The financial reason (the intent) why the financial product is acquired.
    </t>
  </si>
  <si>
    <t>Holistic Health</t>
  </si>
  <si>
    <t xml:space="preserve">
Holistic health is a state of wellness and vitality that brings physical, mental and spiritual harmony to oneself. In other words, it is an integrated approach for enhancing the total personal health. (This is a type of health-care coverage).
    </t>
  </si>
  <si>
    <t>Home Health Care</t>
  </si>
  <si>
    <t xml:space="preserve">
Medical and paramedical services delivered to patients at home as part-time skilled nursing care, speech therapy, physical or occupational therapy, part-time services of home health aides or help from homemakers or chore workers.
    </t>
  </si>
  <si>
    <t>HOS</t>
  </si>
  <si>
    <t xml:space="preserve">
Home Office Urine Specimen (HOS)
    </t>
  </si>
  <si>
    <t>Hospice Care</t>
  </si>
  <si>
    <t xml:space="preserve">
Care provided to terminally ill patients and their families that emphasizes emotional needs and coping with pain and death rather than cure.
    </t>
  </si>
  <si>
    <t>Hospital</t>
  </si>
  <si>
    <t xml:space="preserve">
This concept gives details about an Hospital.
    </t>
  </si>
  <si>
    <t>Hospital License</t>
  </si>
  <si>
    <t xml:space="preserve">
An indication of legal authority granting the hospital the right to conduct health-care activities.
    </t>
  </si>
  <si>
    <t>Hospital License  Bed Count</t>
  </si>
  <si>
    <t xml:space="preserve">
Registered number of licensed beds in a hospital.
    </t>
  </si>
  <si>
    <t>Hospitalization</t>
  </si>
  <si>
    <t xml:space="preserve">
This concept represents a hospitalization. It is related to damages suffered by a person, or an activity that occurs at the hospital (e.g. scheduled surgery).
Hospitalization date and discharge date utilize general start and end dates related to super type Activity.
    </t>
  </si>
  <si>
    <t>Household Content</t>
  </si>
  <si>
    <t xml:space="preserve">
A group of household items that are insured collectively.
    </t>
  </si>
  <si>
    <t>Household Family Insurance</t>
  </si>
  <si>
    <t xml:space="preserve">
Family contract - (Life) A contract that provides insurance within a single contract for a family (e.g. father, mother, and born or unborn children). The primary coverage is typically Whole Life Insurance, with the spouse/partner and children are insured for smaller amounts of Term Insurance.
    </t>
  </si>
  <si>
    <t>Household Item</t>
  </si>
  <si>
    <t xml:space="preserve">
An individual item or specific grouping of very similar items typically insured under a household contents insurance policy and sometimes listed separately on a policy schedule.
    </t>
  </si>
  <si>
    <t>Household Item Specification</t>
  </si>
  <si>
    <t xml:space="preserve">
This represents the specification of the characteristics of a household item.
    </t>
  </si>
  <si>
    <t>Household Relationship</t>
  </si>
  <si>
    <t xml:space="preserve">
A set of individuals usually resident at the same address and members of the same nuclear or extended family, who share a common economic interest and who are to be treated for certain purposes (e.g: marketing campaigns) as a unit. 
e.g: Smith Household.
    </t>
  </si>
  <si>
    <t>Household Relationship  Dependent Adult Count</t>
  </si>
  <si>
    <t xml:space="preserve">
The declared number of adults that are dependent from the household.
    </t>
  </si>
  <si>
    <t>Household Relationship  Dependent Children Count</t>
  </si>
  <si>
    <t xml:space="preserve">
The declared number of children that are dependent from the household.
    </t>
  </si>
  <si>
    <t>Household Relationship  Disposable Income Amount</t>
  </si>
  <si>
    <t xml:space="preserve">
The amount of money that this household can spend after having paid all the fixed expenses such as rent, mortgage repayment and so on. 
This information should be provided by the household when not all composing elements for calculating the disposable income are available.
    </t>
  </si>
  <si>
    <t>Household Relationship  Family Indicator</t>
  </si>
  <si>
    <t xml:space="preserve">
Indicates whether or not the household contains a couple of whom one is designated as the head of the household as well as at least one child of the couple.
    </t>
  </si>
  <si>
    <t>Household Relationship  Gross Income Amount</t>
  </si>
  <si>
    <t xml:space="preserve">
The most recent known gross income of this household. 
Would only be derivable from the gross income of the persons that are the household members, provided this information is available for all members of the household.
    </t>
  </si>
  <si>
    <t>Household Relationship  Head</t>
  </si>
  <si>
    <t xml:space="preserve">
This represents the head of household in a household relationship.
    </t>
  </si>
  <si>
    <t>Household Relationship  Home Ownership</t>
  </si>
  <si>
    <t xml:space="preserve">
The tenancy status of the main residence. 
Is derived via the object ownership of a physical object that is a dwelling and where that dwelling is located at, via physical object location, the same place as the residence for the household. 
e.g: Own 
e.g: Rent
    </t>
  </si>
  <si>
    <t>Household Relationship  Member</t>
  </si>
  <si>
    <t xml:space="preserve">
This represents a family member in a household relationship.
    </t>
  </si>
  <si>
    <t>Household Relationship  Name</t>
  </si>
  <si>
    <t xml:space="preserve">
The name of the household.
e.g. The Adams Family
    </t>
  </si>
  <si>
    <t>Household Relationship  Oldest Dependent Adult Birth Date Time</t>
  </si>
  <si>
    <t xml:space="preserve">
The birth date (and time) of the eldest dependent adult.
    </t>
  </si>
  <si>
    <t>Household Relationship  Oldest Dependent Child Birth Date Time</t>
  </si>
  <si>
    <t xml:space="preserve">
The birth date (and time) of the eldest dependent child.
    </t>
  </si>
  <si>
    <t>Household Relationship  Youngest Dependent Adult Birth Date Time</t>
  </si>
  <si>
    <t xml:space="preserve">
The birth date (and time) of the youngest dependent adult.
    </t>
  </si>
  <si>
    <t>Household Relationship  Youngest Dependent Child Birth Date Time</t>
  </si>
  <si>
    <t xml:space="preserve">
The birth date (and time) of the youngest dependent child.
    </t>
  </si>
  <si>
    <t>Housekeeping Condition</t>
  </si>
  <si>
    <t xml:space="preserve">
An assessment of the general care, cleanliness and maintenance of an insured's property. This may be used in determination of rating or insurability.
    </t>
  </si>
  <si>
    <t>HRXML</t>
  </si>
  <si>
    <t xml:space="preserve">
Human Resource XML (HRXML)
    </t>
  </si>
  <si>
    <t>HTML</t>
  </si>
  <si>
    <t xml:space="preserve">
HyperText Markup Language (HTML)
    </t>
  </si>
  <si>
    <t>HTTP</t>
  </si>
  <si>
    <t xml:space="preserve">
HyperText Transfer Protocol (HTTP)
    </t>
  </si>
  <si>
    <t>Hurricane</t>
  </si>
  <si>
    <t xml:space="preserve">
A hurricane is a natural event qualified as a tropical cyclone.
A tropical cyclone is a storm system characterized by a large low-pressure center and numerous thunderstorms that produce strong winds and heavy rain. Depending on its location and strength, a tropical cyclone is referred to by names such as hurricane, typhoon, tropical storm, cyclonic storm, tropical depression, and simply cyclone.
    </t>
  </si>
  <si>
    <t>Hurricane  Rainfall Measurement</t>
  </si>
  <si>
    <t>Hurricane  Wind Speed Measurement</t>
  </si>
  <si>
    <t xml:space="preserve">
The wind speed recorded for a given event.
    </t>
  </si>
  <si>
    <t>HVAC</t>
  </si>
  <si>
    <t xml:space="preserve">
Heating Ventilation and Air Conditioning (HVAC)
    </t>
  </si>
  <si>
    <t>Hydrant Location</t>
  </si>
  <si>
    <t xml:space="preserve">
Identifies the location of a fire hydrant within a municipality or rural area. e.g. middle (of a municipality), isolated, etc.
    </t>
  </si>
  <si>
    <t>IAA</t>
  </si>
  <si>
    <t xml:space="preserve">
Insurance Application Architecture (IAA)
    </t>
  </si>
  <si>
    <t>IAA-BOM</t>
  </si>
  <si>
    <t xml:space="preserve">
Insurance Application Architecture Business Object Model (IAA-BOM)
    </t>
  </si>
  <si>
    <t>IAIABC</t>
  </si>
  <si>
    <t xml:space="preserve">
International Association of Industrial Accident Boards and Commissions (IAIABC)
    </t>
  </si>
  <si>
    <t>IAIS</t>
  </si>
  <si>
    <t xml:space="preserve">
International Association of Insurance Supervisors (IAIS)
    </t>
  </si>
  <si>
    <t>IASA</t>
  </si>
  <si>
    <t xml:space="preserve">
Insurance Accounting &amp; Systems Association (IASA)
    </t>
  </si>
  <si>
    <t>IBAC</t>
  </si>
  <si>
    <t xml:space="preserve">
Insurance Brokers Association of Canada (IBAC)
    </t>
  </si>
  <si>
    <t>IBAN</t>
  </si>
  <si>
    <t xml:space="preserve">
International Bank Account Number (IBAN)
    </t>
  </si>
  <si>
    <t>IBC</t>
  </si>
  <si>
    <t xml:space="preserve">
Insurance Bureau of Canada (IBC)
    </t>
  </si>
  <si>
    <t>IBNR</t>
  </si>
  <si>
    <t xml:space="preserve">
Incurred But Not Reported (IBNR)
    </t>
  </si>
  <si>
    <t>ICA</t>
  </si>
  <si>
    <t xml:space="preserve">
Insurance Council of Australia (ICA)
    </t>
  </si>
  <si>
    <t>ICAO</t>
  </si>
  <si>
    <t xml:space="preserve">
International Civil Aviation Organization (ICAO)
    </t>
  </si>
  <si>
    <t>ICD</t>
  </si>
  <si>
    <t xml:space="preserve">
International Statistical Classification of Diseases (ICD)
    </t>
  </si>
  <si>
    <t>IDA</t>
  </si>
  <si>
    <t xml:space="preserve">
Indiana Dental Association (IDA)
    </t>
  </si>
  <si>
    <t>Identity Card</t>
  </si>
  <si>
    <t xml:space="preserve">
This concept stands for an Identity Card.
    </t>
  </si>
  <si>
    <t>IDMA</t>
  </si>
  <si>
    <t xml:space="preserve">
Insurance Data Management Association (IDMA)
    </t>
  </si>
  <si>
    <t>IEEE</t>
  </si>
  <si>
    <t xml:space="preserve">
Institute of Electrical and Electronics Engineers (IEEE)
    </t>
  </si>
  <si>
    <t>IETF</t>
  </si>
  <si>
    <t xml:space="preserve">
Internet Engineering Task Force (IETF)
    </t>
  </si>
  <si>
    <t>IFA</t>
  </si>
  <si>
    <t xml:space="preserve">
Indirect Fluorescent Antibody (IFA)
    </t>
  </si>
  <si>
    <t>IFF</t>
  </si>
  <si>
    <t xml:space="preserve">
Industry Funds Forum (IFF)
    </t>
  </si>
  <si>
    <t>IFX</t>
  </si>
  <si>
    <t xml:space="preserve">
Interactive Financial Exchange (IFX)
    </t>
  </si>
  <si>
    <t>IIABA</t>
  </si>
  <si>
    <t xml:space="preserve">
Independent Insurance Agents &amp; Brokers of America (IIABA)
    </t>
  </si>
  <si>
    <t>IICMVA</t>
  </si>
  <si>
    <t xml:space="preserve">
Insurance Industry Committee on Motor Vehicle Administration (IICMVA)
    </t>
  </si>
  <si>
    <t>IIPRC</t>
  </si>
  <si>
    <t xml:space="preserve">
Interstate Insurance Product Regulation Commission (IIPRC)
    </t>
  </si>
  <si>
    <t>IIS</t>
  </si>
  <si>
    <t xml:space="preserve">
Brazil on Budget (IIS)
    </t>
  </si>
  <si>
    <t>IISA</t>
  </si>
  <si>
    <t xml:space="preserve">
Insurance Institute of Africa (IISA)
    </t>
  </si>
  <si>
    <t>Illustration</t>
  </si>
  <si>
    <t xml:space="preserve">
A life insurance sales presentation or depiction that portrays the coverage's, options, forms, premiums, cash value, death benefit, etc. based upon the needs outlined by the insurance prospect/customer.
    </t>
  </si>
  <si>
    <t>Illustration Primary Type</t>
  </si>
  <si>
    <t xml:space="preserve">
This identifies a primary transaction to be applied to this illustration. For example, primary transaction examples: specify a premium change, a distribution request, a coverage change, lump-sum payments.
    </t>
  </si>
  <si>
    <t>Illustration Secondary Type</t>
  </si>
  <si>
    <t xml:space="preserve">
The secondary transaction type provides further instructions on how to treat the primary transaction during the illustration. This further defines the Primary Transaction type. Examples would be: apply minimum premium, max distribution, annihilation. The sublist item for each secondary type code relates directly to a primary type code in order to indicate the full effect of the transaction
    </t>
  </si>
  <si>
    <t>ILTCI</t>
  </si>
  <si>
    <t xml:space="preserve">
Intercompany Long-Term Care Insurance (ILTCI)
    </t>
  </si>
  <si>
    <t>Immediate Care</t>
  </si>
  <si>
    <t xml:space="preserve">
See Urgent Care.
    </t>
  </si>
  <si>
    <t>Impaired Asset</t>
  </si>
  <si>
    <t xml:space="preserve">
An asset that is specifically pledged to secure liabilities and not available to meet general obligations.
    </t>
  </si>
  <si>
    <t>In Network Contact</t>
  </si>
  <si>
    <t xml:space="preserve">
&lt;html&gt;
  &lt;head&gt;
		&lt;style&gt;
			p {padding:0px; margin:0px;}
		&lt;/style&gt;
	&lt;/head&gt;
  &lt;body&gt;
    &lt;p&gt;
This concept represents a type of contact that is available when both parties are on the same network (e.g. &lt;span&gt;&lt;font face="Calibri,sans-serif" style="font-size:11.0pt"&gt;Skype™&lt;/font&gt;&lt;/span&gt;, &lt;span&gt;&lt;font face="Calibri,sans-serif" style="font-size:11.0pt"&gt;Blackberry®&lt;/font&gt;&lt;/span&gt;, Messenger).
    &lt;/p&gt;
  &lt;/body&gt;
&lt;/html&gt;
    </t>
  </si>
  <si>
    <t>In Network Contact  Telephone Number</t>
  </si>
  <si>
    <t xml:space="preserve">
This represents the telephone number "address" for an in-network contact.
    </t>
  </si>
  <si>
    <t>In Network Contact  Type Code</t>
  </si>
  <si>
    <t xml:space="preserve">
A code identifying a type of in-network contact.
    </t>
  </si>
  <si>
    <t>In Person Contact</t>
  </si>
  <si>
    <t xml:space="preserve">
This concept represents an in-person meeting as a means of contact.
    </t>
  </si>
  <si>
    <t>In Person Contact  Meeting Address</t>
  </si>
  <si>
    <t xml:space="preserve">
This represents the address that identifies the place for an in-person meeting.
    </t>
  </si>
  <si>
    <t>In Use Object</t>
  </si>
  <si>
    <t xml:space="preserve">
This role represents an in-use object in the context of the place at which it is in use (e.g. navigated watercraft, operated vehicle, utilized equipment, etc.).
    </t>
  </si>
  <si>
    <t>Incentive Plan</t>
  </si>
  <si>
    <t xml:space="preserve">
Program that provides a bonus to a producer based on the overall performance of the producer. Also used as a support of marketing and promotion campaigns.
    </t>
  </si>
  <si>
    <t>Incident Injury</t>
  </si>
  <si>
    <t xml:space="preserve">
This contains information about injuries that occurred as a result of an incident. Information may be items such as: extent of the injury, equipment used, severity of the injury, etc.
    </t>
  </si>
  <si>
    <t>Incident Reported By Party</t>
  </si>
  <si>
    <t xml:space="preserve">
The person or organization who reported an incident or loss.
    </t>
  </si>
  <si>
    <t>Incident Reported To Party</t>
  </si>
  <si>
    <t xml:space="preserve">
The person or organization to whom an incident or loss was reported to.
    </t>
  </si>
  <si>
    <t>Income</t>
  </si>
  <si>
    <t xml:space="preserve">
This represents general information regarding income details for a given person.
    </t>
  </si>
  <si>
    <t>Income  Disposable Amount</t>
  </si>
  <si>
    <t xml:space="preserve">
The amount of money that this person can spend after having paid all the fixed expenses such as rent, mortgage repayment and so on. 
This information should be provided by the person when not all composing elements for calculating the disposable income are available.
    </t>
  </si>
  <si>
    <t>Income  Frequency Code</t>
  </si>
  <si>
    <t xml:space="preserve">
A code indicating the frequency of income.
    </t>
  </si>
  <si>
    <t>Income  Gross Amount</t>
  </si>
  <si>
    <t xml:space="preserve">
The most recent known gross income of this person. This amount includes salaries and non-salary income (e.g. stock sale, property sale, etc.).
    </t>
  </si>
  <si>
    <t>Income  Net Amount</t>
  </si>
  <si>
    <t xml:space="preserve">
The most recent known net income of this person (gross income - taxes and other deductions = net income).
    </t>
  </si>
  <si>
    <t>Income  Type Code</t>
  </si>
  <si>
    <t xml:space="preserve">
A code indicating the applicable type of income.
    </t>
  </si>
  <si>
    <t>Income Payout Option</t>
  </si>
  <si>
    <t xml:space="preserve">
The choice or choices the annuitant has in deciding how the periodic payments from an immediate annuity will be made.
    </t>
  </si>
  <si>
    <t>Income Tax Registration</t>
  </si>
  <si>
    <t xml:space="preserve">
A registration issued by a tax assessing and collection authority to identify the tax paying status and history of a party. An income tax  number is expressed in the external reference. 
e.g: Wilson Grayson's personal income tax (tax type) number 12345 and status of fully taxed (tax status).
    </t>
  </si>
  <si>
    <t>Income Tax Registration  Estimated Tax Bracket Percentage</t>
  </si>
  <si>
    <t xml:space="preserve">
Estimated marginal tax bracket. This is the total percentage of additional tax paid on each additional amount of income. It contains the total of all taxes that apply to a party such as city, state, and country taxes.
    </t>
  </si>
  <si>
    <t>Increasing Benefit</t>
  </si>
  <si>
    <t xml:space="preserve">
Information about the valuation of a coverage when it is a life product that is designed to return an increasing benefit to the beneficiary, such as an investment product.
    </t>
  </si>
  <si>
    <t>Incurred But Not Reported (IBNR)</t>
  </si>
  <si>
    <t xml:space="preserve">
An estimate of the amount of an insurer's (or self-insurer's) liability for claim-generating events that have taken place but have not yet been reported.
    </t>
  </si>
  <si>
    <t>Incurred Loss</t>
  </si>
  <si>
    <t xml:space="preserve">
Losses that have occurred within a stipulated time period, whether paid or not.
    </t>
  </si>
  <si>
    <t>Indemnity</t>
  </si>
  <si>
    <t xml:space="preserve">
Compensation for loss. This can vary based upon the insurance company.
    </t>
  </si>
  <si>
    <t>Independent Contractor</t>
  </si>
  <si>
    <t xml:space="preserve">
A person who provides services to a company but is not an employee or agent of that company.
    </t>
  </si>
  <si>
    <t>Independent Financial Adviser</t>
  </si>
  <si>
    <t xml:space="preserve">
See Financial Adviser. This term is applicable to the UK Life Market.
    </t>
  </si>
  <si>
    <t>Indexed Life Insurance</t>
  </si>
  <si>
    <t xml:space="preserve">
The type of insurance where the face value varies according to a prescribed index of prices. The index may be applied automatically or the insured may control the adjustment.
    </t>
  </si>
  <si>
    <t>Indexing</t>
  </si>
  <si>
    <t xml:space="preserve">
The automatic adjustment of a property or liability value to reflect the inflation rate in the country where the risk is located.
    </t>
  </si>
  <si>
    <t>Individual Agreement</t>
  </si>
  <si>
    <t xml:space="preserve">
An insurance policy between an insurer and a party. All policies that are not group insurance (or reinsurance) are considered individual insurance. An individual agreement can be applicable to life and non-life insurance (e.g. there are life insurance individual agreements, as well as health, property, liability, and other various types of insurance agreements, except group agreements).
e.g. Automobile Insurance
e.g. Comprehensive Personal Liability Insurance
e.g. Disability Income Insurance
e.g. Family Income Policy
e.g. Homeowners Insurance Policy
e.g. Individual Life Insurance
e.g. Protection Contract
    </t>
  </si>
  <si>
    <t>Individual Case Report</t>
  </si>
  <si>
    <t xml:space="preserve">
In workers compensation, statistical reporting, this is a report providing details regarding an individual workers compensation claim.
    </t>
  </si>
  <si>
    <t>Individual Compensation Information</t>
  </si>
  <si>
    <t xml:space="preserve">
This contains information about individual compensation activity being reported.
    </t>
  </si>
  <si>
    <t>Information Model Object</t>
  </si>
  <si>
    <t xml:space="preserve">
This concept is a generalizing concept for ALL concepts in the Information Model.  By having a common super-type, the Information Model can now use techniques like Categorization (via the Category sub-package and concept) and can help support the common interfaces used in the Component Model. 
Conceptually, InformationModelObject represents a thing or a concept that is meaningful to the industry.
    </t>
  </si>
  <si>
    <t>Information Model Object  Basic Data Complete Code</t>
  </si>
  <si>
    <t xml:space="preserve">
A code indicating the degree to which data for the object in question is considered complete. Having this attribute at this level makes all objects in the model capable of noting their level of completeness.
    </t>
  </si>
  <si>
    <t>Information Model Object  Creation Date Time</t>
  </si>
  <si>
    <t xml:space="preserve">
The point in time when the business concept was created.  Note that this is different from when the concept is considered effective or available.  For example, a creation date on a Fund or Account would indicate when the Fund or Account was created.  This would be a different point in time from when the Fund was available for purchase or when the Account could be used.
    </t>
  </si>
  <si>
    <t>Information Model Object  Type Name</t>
  </si>
  <si>
    <t xml:space="preserve">
Indicates the name of the type the object belongs to. The "typeName" can be used to reduce inheritance structures for things that have the same attributes (to the organization) but different names. For example, instead of creating sub-types for every vehicle manufacturer, you can use typeName as a simple String to differentiate them. It's important to differentiate between typeName and Category. The former is a very simple means of identifying the class, while the latter is used to group classes of the same (or different) types.
    </t>
  </si>
  <si>
    <t>Information Provider</t>
  </si>
  <si>
    <t xml:space="preserve">
An organization which collects information for the purpose of selling it.
    </t>
  </si>
  <si>
    <t>Inherited Contract</t>
  </si>
  <si>
    <t xml:space="preserve">
An insurance contract opened by an individual or entity using death benefit proceeds from a Contract from which they were named beneficiary.
    </t>
  </si>
  <si>
    <t>Initial Amount Of Cover</t>
  </si>
  <si>
    <t xml:space="preserve">
The amount of the coverage as initially issued (face amount). It does not include amounts associated with any options.
    </t>
  </si>
  <si>
    <t>Initial Market Sizing</t>
  </si>
  <si>
    <t xml:space="preserve">
The first estimate of the potential revenue opportunity within a specific market.
    </t>
  </si>
  <si>
    <t>Injury</t>
  </si>
  <si>
    <t xml:space="preserve">
Damage or harm done to or suffered by a person or thing.
    </t>
  </si>
  <si>
    <t>Inpatient</t>
  </si>
  <si>
    <t xml:space="preserve">
A patient who is formally admitted (or hospitalized) to an institution for treatment and/or care and stays for a minimum of one night in the hospital or other institution providing inpatient care.
    </t>
  </si>
  <si>
    <t>Inspection</t>
  </si>
  <si>
    <t xml:space="preserve">
This concept represents an inspection of some type.
e.g. During the placement process, the insurer may require an inspection of a vehicle or structure to determine insurability and identify any pre-existing damage or condition(s).
    </t>
  </si>
  <si>
    <t>Inspection  Code</t>
  </si>
  <si>
    <t xml:space="preserve">
This identifies the type of inspection.
    </t>
  </si>
  <si>
    <t>Inspection Report</t>
  </si>
  <si>
    <t xml:space="preserve">
This concept stands for an inspection report. The inspection report lists a series of elements; each having a name and a description.
    </t>
  </si>
  <si>
    <t>Inspection Report Source</t>
  </si>
  <si>
    <t xml:space="preserve">
It indicates the type of inspection report which is being or was ordered.
    </t>
  </si>
  <si>
    <t>Inspection Status</t>
  </si>
  <si>
    <t xml:space="preserve">
This represents the status of an inspection.
    </t>
  </si>
  <si>
    <t>Inspection Status  Code</t>
  </si>
  <si>
    <t xml:space="preserve">
This code represents the status of an inspection.
    </t>
  </si>
  <si>
    <t>Inspector</t>
  </si>
  <si>
    <t xml:space="preserve">
This concept states one's role as an inspector.
    </t>
  </si>
  <si>
    <t>Inspector Relationship</t>
  </si>
  <si>
    <t xml:space="preserve">
This concept defines inspector's association with an organization.
    </t>
  </si>
  <si>
    <t>Installment</t>
  </si>
  <si>
    <t xml:space="preserve">
An installment keeps track of information about financial provisions as they relate to their respective source or destination in a financial exchange.
    </t>
  </si>
  <si>
    <t>Installment  Due Date Time</t>
  </si>
  <si>
    <t xml:space="preserve">
The date (and time) before which the amount due must be paid. 
e.g: The due date for the premium related to the period 12/1/2001 to 12/1/2002 is set to the 12/1/2001. For insurance premiums, the due date normally is equal to the payment due period start date, because most of the financial transactions by an insurance company are due in the beginning of the period over which they are applicable. This is called payments in advance or prenumerando, as opposed to payments in arrears or postnumerando. Postnumerando payments are due at the end of the period over which they are applicable.
    </t>
  </si>
  <si>
    <t>Installment  Gross Amount</t>
  </si>
  <si>
    <t xml:space="preserve">
Total amount of the installment including any taxes, surcharges, fees, etc. that are included in the overall amount.
    </t>
  </si>
  <si>
    <t>Installment  Net Amount</t>
  </si>
  <si>
    <t xml:space="preserve">
Total amount of the installment minus any taxes, surcharges, fees, etc that are included in the overall amount.
    </t>
  </si>
  <si>
    <t>Installment  Outstanding Amount</t>
  </si>
  <si>
    <t xml:space="preserve">
The payment due balance that can be derived from the sum of amounts paid through payment due settlements.
    </t>
  </si>
  <si>
    <t>Installment  Payment Period</t>
  </si>
  <si>
    <t xml:space="preserve">
The payment period (the period for which the payment due is created) 
e.g: The period start date for the premium due related to the period 12/1/2001 to 12/1/2002 is  the 12/1/2001. The period end date for the premium due related to the period 12/1/2001 to 12/1/2002 is  the 12/1/2002.
    </t>
  </si>
  <si>
    <t>Installment  Supported Activity</t>
  </si>
  <si>
    <t xml:space="preserve">
This represents a financial activity supported by an installment.
    </t>
  </si>
  <si>
    <t>Installment Status</t>
  </si>
  <si>
    <t xml:space="preserve">
This represents the status of an installment.
    </t>
  </si>
  <si>
    <t>Installment Status  Code</t>
  </si>
  <si>
    <t xml:space="preserve">
The current status of a payment due within a life-cycle model. 
e.g: Due 
e.g: Fully settled 
e.g: Partially settled 
e.g: Replaced 
e.g: Written off
    </t>
  </si>
  <si>
    <t>Insulation</t>
  </si>
  <si>
    <t xml:space="preserve">
This represents various aspects about the insulation of a structure.
    </t>
  </si>
  <si>
    <t>Insulation  Type Code</t>
  </si>
  <si>
    <t xml:space="preserve">
This indicates the type of insulation.
    </t>
  </si>
  <si>
    <t>Insurable Interest</t>
  </si>
  <si>
    <t xml:space="preserve">
Any interest a person or organization has in a possible subject of insurance such as a car or home of such nature that a certain happening might cause financial loss.
    </t>
  </si>
  <si>
    <t>Insurance Agency</t>
  </si>
  <si>
    <t xml:space="preserve">
This concept states an organization's role as an insurance agency.
An insurance agency solicits, negotiates or effects contracts of insurance on behalf of an insurer. The agency's right to exercise various functions, authority, and obligations, as well as the obligations of the insurer to the agency, are subject to the terms of the agency contract with the insurer, to statutory law, and to common law.
    </t>
  </si>
  <si>
    <t>Insurance Agreement</t>
  </si>
  <si>
    <t xml:space="preserve">
A legal agreement between an insurer and the insured, describing the contract terms, coverages, premiums, deductibles, limits, promise to pay claims, etc. Examples include: Health Insurance Contract, Life Insurance Contract, Property and Casualty Contract.
    </t>
  </si>
  <si>
    <t>Insurance Agreement  Proposed Insurance Agreement</t>
  </si>
  <si>
    <t xml:space="preserve">
This represents the proposed insurance agreement which, for various reasons, was unavailable and so a temporary agreement was produced instead.
    </t>
  </si>
  <si>
    <t>Insurance Agreement  Renewal Indicator</t>
  </si>
  <si>
    <t xml:space="preserve">
Indicates whether or not the insurance policy is a renewal.  If not, it indicates that the insurance policy is in its first renewal period.
    </t>
  </si>
  <si>
    <t>Insurance Agreement  Temporary Indicator</t>
  </si>
  <si>
    <t xml:space="preserve">
This indicates the insurance agreement is temporary. A temporary insurance agreement (TIA) is a legal agreement between an insurer and the insured, understood to be temporary in nature. The temporary aspect is typically associated with circumstances involving the applicant's pursuit of an insurance policy, which, for various reasons, is not yet available (e.g. the insurance has been applied for, but the resulting insurance policy has not yet been issued). The temporary agreement serves as a substitute until the insurance policy is produced. Note: Whether the coverages and/or limits and such in the temporary agreement are identical to the permanent agreement is subject to the insurer's business practices.
Terminology Notes:
Life insurance refers to these types of agreements as:
- Temporary Insurance Agreement (TIA)
- Binding Premium Receipt
- Conditional Insurance
Non-life/P&amp;C insurance refers to these types of agreements as:
- Binder
- Cover Note
    </t>
  </si>
  <si>
    <t>Insurance Agreement  Temporary Insurance Agreement</t>
  </si>
  <si>
    <t xml:space="preserve">
This represents a temporary insurance agreement in relationship to the insurance agreement for which it is temporary.
    </t>
  </si>
  <si>
    <t>Insurance Agreement Status</t>
  </si>
  <si>
    <t xml:space="preserve">
This represents the status of an insurance agreement.
    </t>
  </si>
  <si>
    <t>Insurance Agreement Status  Code</t>
  </si>
  <si>
    <t xml:space="preserve">
The current status of the insurance policy within the life-cycle model.
    </t>
  </si>
  <si>
    <t>Insurance Brokerage</t>
  </si>
  <si>
    <t xml:space="preserve">
This concept states an organization's role as an insurance brokerage.
An insurance brokerage is a party who may or may not be directly employed by an insurance company that sells and services insurance policies for more than one insurance company. An insurance intermediary usually has the following characteristics: acts on behalf of the client rather than the insurance company; professional, full time; regulated by statute.
    </t>
  </si>
  <si>
    <t>Insurance Claim</t>
  </si>
  <si>
    <t xml:space="preserve">
An insurance claim describes the demand for money, services or goods from one party (Claimant) to Insurance Provider under terms and conditions which have been defined in a financial services agreement.
e.g: Claim from Jane Doe to Acme Insurance Company for fire damage to his house.
    </t>
  </si>
  <si>
    <t>Insurance Company</t>
  </si>
  <si>
    <t xml:space="preserve">
An organization whose business it is to insure against loss, damage, or death.
    </t>
  </si>
  <si>
    <t>Insurance Policy</t>
  </si>
  <si>
    <t xml:space="preserve">
A writing whereby a contract of insurance is made.
    </t>
  </si>
  <si>
    <t>Insurance Pool</t>
  </si>
  <si>
    <t xml:space="preserve">
An insurance pool is a group of insurance companies that pool their assets in order to share the loss potential of insuring large risks such as nuclear power stations. Some pools are mandated by the state to cover risks that cannot obtain coverage in the regular market, such as coastal properties that are prone to hurricane risks.
Pooling is a method by which each member of an insurance pool shares in each and every risk written by the other members of the pool.
Fair Plans are insurance pools that sell property insurance to people who can't buy it in the volunteer marketplace because of their high exposure to risks over which they may have no control
Like the Fair Plans, which provide basic property insurance coverage, Beach and windstorm plans are state-sponsored insurance pools that sell property for the peril of windstorm to people unable to buy it in the voluntary market because of their exposure to risk.
    </t>
  </si>
  <si>
    <t>Insurance Pool  Administered Insurance Pool Relationship</t>
  </si>
  <si>
    <t xml:space="preserve">
This represents the insurance pool relationship being administered by the insurance pool.
    </t>
  </si>
  <si>
    <t>Insurance Pool  Reinsurance Indicator</t>
  </si>
  <si>
    <t xml:space="preserve">
Indicates the insurance pool is a reinsurance pool.
    </t>
  </si>
  <si>
    <t>Insurance Pool Relationship</t>
  </si>
  <si>
    <t xml:space="preserve">
This concept defines the business relationship between an insurance pool and in insurance provider.
    </t>
  </si>
  <si>
    <t>Insurance Pool Relationship  Administering Insurance Pool</t>
  </si>
  <si>
    <t xml:space="preserve">
This represents the insurance pool relationship administered by an insurance pool.
    </t>
  </si>
  <si>
    <t>Insurance Pool Relationship  Participant</t>
  </si>
  <si>
    <t xml:space="preserve">
This represents the insurance provider acting as a participant in an insurance pool relationship.
    </t>
  </si>
  <si>
    <t>Insurance Pool Relationship  Participation Percentage</t>
  </si>
  <si>
    <t xml:space="preserve">
The participation percentage of the insurance provider in the insurance pool.
    </t>
  </si>
  <si>
    <t>Insurance Pool Relationship  Role</t>
  </si>
  <si>
    <t xml:space="preserve">
This represents the role of the insurance provider in the insurance pool, if applicable (possible values are "Leader", "Other", "Administrator", "Minority Coinsurer").
    </t>
  </si>
  <si>
    <t>Insurance Producer</t>
  </si>
  <si>
    <t xml:space="preserve">
This concept states a party's role as an insurance producer: A person or an organization, who solicits, negotiates or effects contracts of insurance on behalf of an insurer. The producer's right to exercise various functions, authority, and obligations, as well as the obligations of the insurer to the producer, are subject to the terms of the agency contract with the insurer, to statutory law, and to common law. Types of producers include General Agents, Registered representatives, brokerage firms, etc.
    </t>
  </si>
  <si>
    <t>Insurance Producer  Producer Relationship</t>
  </si>
  <si>
    <t xml:space="preserve">
This represents a producer relationship in which an insurance producer participates.
    </t>
  </si>
  <si>
    <t>Insurance Producer  Registering Producer Registration</t>
  </si>
  <si>
    <t xml:space="preserve">
This represents the producer registration to which an insurance producer is a registrant.
    </t>
  </si>
  <si>
    <t>Insurance Producer Appointment</t>
  </si>
  <si>
    <t xml:space="preserve">
An agreement that provides approval for a producer to sell different product lines. Licensing requirements, educational requirements also are, or can be, addressed.
    </t>
  </si>
  <si>
    <t>Insurance Professional Association</t>
  </si>
  <si>
    <t xml:space="preserve">
Represents an organization or association of insurance practitioners. An example would be the Insurance Data Management Association (IDMA) which represents a group of insurance practitioners brought together for the enhancement of data management in the insurance industry.
    </t>
  </si>
  <si>
    <t>Insurance Provider</t>
  </si>
  <si>
    <t xml:space="preserve">
This concept is a generalizing concept for the roles possibly played by a party as an insurance provider.
Types of capacity providers:
Direct Insurers
Subsidiaries of direct insurers
Joint venture private reinsurers
Regional reinsurance corporations
Statutory reinsurers
Other professional reinsurers
Subsidiaries of professional reinsurers
Lloyd's
Pools
Underwriting agencies
Mutuals
Captive reinsurers
State reinsurance schemes
Finite reinsurers
ART providers
    </t>
  </si>
  <si>
    <t>Insurance Provider  Participating Pool Relationship</t>
  </si>
  <si>
    <t xml:space="preserve">
This represents the insurance pool relationship in which the insurance provider participates.
    </t>
  </si>
  <si>
    <t>Insurance Provider  Producer Relationship</t>
  </si>
  <si>
    <t xml:space="preserve">
This represents a producer relationship in which an insurance provider participates.
    </t>
  </si>
  <si>
    <t>Insurance Provider  Registering Insurance Provider Registration</t>
  </si>
  <si>
    <t xml:space="preserve">
This represents the insurance provider registration to which an insurance provider is a registrant.
    </t>
  </si>
  <si>
    <t>Insurance Provider Registration</t>
  </si>
  <si>
    <t xml:space="preserve">
An authorization, often by a regulatory body, granting the right to conduct certain classes of insurance or investment business in given territories. This has usually to be granted on top of a normal company registration. 
e.g: Department of Trade and Industry (DTI) authorization for Acme Insurance Company to operate in the United Kingdom.
e.g: Registration of Acme Insurance Company, registered by the National Association of Insurance Commissioners (NAIC).
    </t>
  </si>
  <si>
    <t>Insurance Provider Registration  Registrant</t>
  </si>
  <si>
    <t xml:space="preserve">
This represents the registered insurance provider (e.g. registrant) of an insurance provider registration.
    </t>
  </si>
  <si>
    <t>Insured</t>
  </si>
  <si>
    <t xml:space="preserve">
Any person or organization whose interest in the subject matter of the insurance is protected under the insurance contract. The insured does not necessarily need to be the contractholder or the beneficiary. (Alternate definition: A person or organization covered as defined in the insurance contract. In life insurance policies there is one designated insured, the person so named; or a contract can be issued to numerous insured on a group basis. The insured persons in property and casualty policies may also include residents of the insured's household, such as a spouse, relatives of either, and other individuals under their care, custody, and control if under age 21. See also "Named Insured".
e.g: Barbara Wire, as insured in a dangerous sports disability coverage.
    </t>
  </si>
  <si>
    <t>Insured  Insurable Interest Code</t>
  </si>
  <si>
    <t xml:space="preserve">
A code indicating the insurable interest of the insured party.
    </t>
  </si>
  <si>
    <t>Insured  Legal Wording</t>
  </si>
  <si>
    <t xml:space="preserve">
The exact, legal, insured name/description.
    </t>
  </si>
  <si>
    <t>Insured  Type Code</t>
  </si>
  <si>
    <t xml:space="preserve">
A code indicating the type of insured.
    </t>
  </si>
  <si>
    <t>Insured Borrower</t>
  </si>
  <si>
    <t xml:space="preserve">
This concept gives information on a borrower's profile in the context of loan insurance.
    </t>
  </si>
  <si>
    <t>Insured Borrower  Borrower Quality</t>
  </si>
  <si>
    <t xml:space="preserve">
Indicates the borrower quality (related PersonProfile)
    </t>
  </si>
  <si>
    <t>Insured Borrower  Loan Share Percentage</t>
  </si>
  <si>
    <t xml:space="preserve">
Indicates the share of the loan for the related insured person (PersonProfile).
    </t>
  </si>
  <si>
    <t>Insured Object</t>
  </si>
  <si>
    <t xml:space="preserve">
This role represents a physical object in the context of the agreement that is providing its coverage.
    </t>
  </si>
  <si>
    <t>Insured Object  Insured Percentage</t>
  </si>
  <si>
    <t xml:space="preserve">
The fraction of a physical object's value covered if it is the subject covered in an insurance agreement and is insured for less than its full value.
    </t>
  </si>
  <si>
    <t>Insured Rating</t>
  </si>
  <si>
    <t xml:space="preserve">
This component contains information specific to how the subject of insurance is rated when the subject is an individual.
    </t>
  </si>
  <si>
    <t>Insured Rating  Age</t>
  </si>
  <si>
    <t xml:space="preserve">
The person's age utilized for rating purposes. This is not equivalent to the person's actual age; rather, this is the age utilized for rating in the context of an agreement.
    </t>
  </si>
  <si>
    <t>Insured Rating  Gender Code</t>
  </si>
  <si>
    <t xml:space="preserve">
A code utilized for rating purposes representing the person's gender. This is not equivalent to the person's actual gender; rather, this is the gender utilized for rating in the context of an agreement.
    </t>
  </si>
  <si>
    <t>Insured Rating  Occupation Classification Code</t>
  </si>
  <si>
    <t xml:space="preserve">
A code representing the occupational classification used for rating purposes within the context of an agreement. Note: This does not equate to the person's actual occupation.
    </t>
  </si>
  <si>
    <t>Insured Rating  Tobacco Premium Basis Code</t>
  </si>
  <si>
    <t xml:space="preserve">
A code utilized for rating purposes representing the person's tobacco usage. This is not equivalent to the person's actual tobacco usage; rather, this is the tobacco usage utilized for rating in the context of an agreement.
    </t>
  </si>
  <si>
    <t>Insured Rating  Underwriting Classification Code</t>
  </si>
  <si>
    <t xml:space="preserve">
A code representing the underwriting classification applicable to the subject of insurance (e.g. party, object, etc.) Examples include standard, preferred, substandard, etc.
    </t>
  </si>
  <si>
    <t>Insured Rating  Underwriting Sub Classification Code</t>
  </si>
  <si>
    <t xml:space="preserve">
A code representing a further breakdown of Underwriting Classification, most commonly used to allow for making a slightly different offer, where the change in risk is determined to fit in between classes, but not sufficient to go to the next higher/lower class.
    </t>
  </si>
  <si>
    <t>Insurer</t>
  </si>
  <si>
    <t xml:space="preserve">
A party (e.g. person or organization) that undertakes to provide insurance services in exchange for the payment of premiums.
SOURCE: Barron's
A party who offers protection to the insured in a financial services agreement.
NOTE: When an insurer shares the risk sustained under an insurance policy with another insurer, each is also known as a co-insurer (aka coinsurer).
e.g: Acme Insurance Company as the insurer of an endowment policy.
    </t>
  </si>
  <si>
    <t>Insurer  Leader Indicator</t>
  </si>
  <si>
    <t xml:space="preserve">
Indicates the insurer is the leader (aperitor).
Note: Co-insurance refers to the insurance, usually of large risks, by two or more direct insurers as a means of spreading the risk.
    </t>
  </si>
  <si>
    <t>Insurer  Management By Aperitor Indicator</t>
  </si>
  <si>
    <t xml:space="preserve">
Indicates if the management of the coinsurance is made by the aperitor.
    </t>
  </si>
  <si>
    <t>Insurer  Rejection Reason Code</t>
  </si>
  <si>
    <t xml:space="preserve">
The reason given by the insurer for his rejection of the conditions stated in the financial services agreement. 
e.g: High risk 
e.g: History of fraud
    </t>
  </si>
  <si>
    <t>Insurer  Signed Line Percentage</t>
  </si>
  <si>
    <t xml:space="preserve">
The amount for which an insurer becomes liable in the event of a slip being over- subscribed (see written line).
Syn: Closed line.
    </t>
  </si>
  <si>
    <t>Insurer  Written Line Percentage</t>
  </si>
  <si>
    <t xml:space="preserve">
Written line: the maximum amount of insurance that an insurer has agreed to accept when initialing a slip; it may be more than the amount actually insured by an individual insurer if the broker obtains more than 100% cover for the risk, in which case each insurer's liability will be reduced proportionately (written down) to a closed line or signed line.
    </t>
  </si>
  <si>
    <t>Insurer (Cedent) From Ground Up (FGU)</t>
  </si>
  <si>
    <t xml:space="preserve">
The ceding company's total loss so far on this reinsurance contract.
    </t>
  </si>
  <si>
    <t>Intended Recipient</t>
  </si>
  <si>
    <t xml:space="preserve">
Person or department within an insurance company who the sender of a transaction expects will process it.
    </t>
  </si>
  <si>
    <t>Interest Based Fund</t>
  </si>
  <si>
    <t xml:space="preserve">
This concept represents a fund based on interest.
    </t>
  </si>
  <si>
    <t>Interest Based Fund  Calculation Type Code</t>
  </si>
  <si>
    <t xml:space="preserve">
A code indicating the applicable interest calculation method.
    </t>
  </si>
  <si>
    <t>Interest Based Fund  Guaranteed Duration</t>
  </si>
  <si>
    <t xml:space="preserve">
The duration for which the guaranteed interest rate will be in effect (e.g. 6 months, 3 years, etc.).
    </t>
  </si>
  <si>
    <t>Interest Based Fund  Guaranteed Minimum Rate</t>
  </si>
  <si>
    <t xml:space="preserve">
Defines a guaranteed minimum level interest rate independent of any market parameters. It is also known as the minimum floor rate.
    </t>
  </si>
  <si>
    <t>Interest Based Fund  Real Rate</t>
  </si>
  <si>
    <t xml:space="preserve">
An interest rate that has been adjusted to remove the effects of inflation to reflect the real cost of funds to the borrower, and the real yield to the lender. The real interest rate of an investment is calculated as the amount by which the nominal interest rate is higher than the inflation rate.
    </t>
  </si>
  <si>
    <t>Interest Rate Cap</t>
  </si>
  <si>
    <t xml:space="preserve">
Upper limit on the maximum possible interest rate the insurance company will pay.
    </t>
  </si>
  <si>
    <t>Interest Rate Collar</t>
  </si>
  <si>
    <t xml:space="preserve">
Combination of an Interest Rate Cap and an Interest Rate Floor, creating a band within which interest rates can range.
    </t>
  </si>
  <si>
    <t>Interest Rate Floor</t>
  </si>
  <si>
    <t xml:space="preserve">
Lower limit on the maximum possible interest rate an insurance company will pay.
    </t>
  </si>
  <si>
    <t>Interest Rate Risk Agreement</t>
  </si>
  <si>
    <t xml:space="preserve">
A risk agreement concerned with interest rate risk management.
    </t>
  </si>
  <si>
    <t>Interest Rate Risk Exposure</t>
  </si>
  <si>
    <t xml:space="preserve">
A risk exposure which arises from changes in interest rates.
    </t>
  </si>
  <si>
    <t>Interest Rate Risk Factor Score</t>
  </si>
  <si>
    <t xml:space="preserve">
The rating of characteristics that have an impact on the likelihood of loss to occur. 
The rating of factors that contribute to interest rate risk.
    </t>
  </si>
  <si>
    <t>Interest Rate Risk Position</t>
  </si>
  <si>
    <t xml:space="preserve">
The estimate of the possible loss for an interest rate risk exposure.
    </t>
  </si>
  <si>
    <t>Interest Rate Swap</t>
  </si>
  <si>
    <t xml:space="preserve">
A financial derivative where the counter-parties agree to exchange a fixed interest rate and a floating interest rate.
    </t>
  </si>
  <si>
    <t>Interest-Sensitive Life Insurance</t>
  </si>
  <si>
    <t xml:space="preserve">
A life insurance contract that credits the contractholder with interest , based upon the investment return earned by the insurance company on all of the contracts in a particular group.
    </t>
  </si>
  <si>
    <t>Interior Finish</t>
  </si>
  <si>
    <t xml:space="preserve">
This represents various aspects about the interior finish of a structure.
    </t>
  </si>
  <si>
    <t>Interior Finish  Component Nature Type Code</t>
  </si>
  <si>
    <t xml:space="preserve">
This indicates the portion of the nature of the interior component to which a finish applies (e.g. construction, covering, finish).
    </t>
  </si>
  <si>
    <t>Interior Finish  Component Type Code</t>
  </si>
  <si>
    <t xml:space="preserve">
This indicates the portion of the interior to which a finish applies (e.g. ceilings, floors, walls).
    </t>
  </si>
  <si>
    <t>Interior Finish  Material Percent</t>
  </si>
  <si>
    <t xml:space="preserve">
This represents the percentage of the material used in the interior finish of the structure.
    </t>
  </si>
  <si>
    <t>Interior Finish  Material Type Code</t>
  </si>
  <si>
    <t xml:space="preserve">
This represents the type of material used in the interior finish.
    </t>
  </si>
  <si>
    <t>Intermediary Market</t>
  </si>
  <si>
    <t xml:space="preserve">
See Brokerage Market.
    </t>
  </si>
  <si>
    <t>Intermediary Registration Number</t>
  </si>
  <si>
    <t xml:space="preserve">
A unique identifier used by the insurance authorities, such as Financial Intermediaries, Managers and Brokers Regulatory Association (FIMBRA), to identify the insurance Producer person as an intermediary.
    </t>
  </si>
  <si>
    <t>Internal Medical Approver</t>
  </si>
  <si>
    <t xml:space="preserve">
This concept defines the Approver of the hospitalization.
    </t>
  </si>
  <si>
    <t>Internal Medical Approver Identifier</t>
  </si>
  <si>
    <t xml:space="preserve">
The internal medical approver identification number.
    </t>
  </si>
  <si>
    <t>Intersection Address</t>
  </si>
  <si>
    <t xml:space="preserve">
This concept represents an address for the intersection of two or more roads (e.g. streets, avenues, etc.).
    </t>
  </si>
  <si>
    <t>Intersection Address  Intersecting Street Address</t>
  </si>
  <si>
    <t xml:space="preserve">
This represents the street address(es0 associated with an intersection address.
e.g. the intersection of Maple Street and Cherry Drive involves two streets: (1) Maple Street (2) Cherry Drive.
    </t>
  </si>
  <si>
    <t>Inured To The Benefit Of</t>
  </si>
  <si>
    <t xml:space="preserve">
To take effect for the benefit of either the reinsurer or the reinsured. With the respect to a given reinsurance contract (usually treaty), other reinsurances which are first applied to reduce the loss subject to the given contract are said to inure to the benefit of the reinsurer of that given contract. If the other reinsurances are to be disregarded as respects loss to a given contract, they are said to inure to the benefit of the reinsured.
    </t>
  </si>
  <si>
    <t>Inuring</t>
  </si>
  <si>
    <t xml:space="preserve">
Reinsurance that reduces the amount otherwise recoverable under a particular reinsurance cover. Premium for inuring reinsurance is deducted from the subject base premium for the cover it protects (i.e. to which it inures).
    </t>
  </si>
  <si>
    <t>Inuring Annuity</t>
  </si>
  <si>
    <t xml:space="preserve">
'The amount of annuities which has been billed by the ceding company to the inuring excess of loss reinsurances for a claim.
    </t>
  </si>
  <si>
    <t>Inuring Expenses</t>
  </si>
  <si>
    <t xml:space="preserve">
The total amount of expenses which have been billed by the ceding company to the inuring excess of loss reinsurances for a claim.
    </t>
  </si>
  <si>
    <t>Inuring Interest</t>
  </si>
  <si>
    <t xml:space="preserve">
The total amount of interest which has been billed by the ceding company to the inuring excess of loss reinsurances for this claim.
    </t>
  </si>
  <si>
    <t>Inuring Losses</t>
  </si>
  <si>
    <t xml:space="preserve">
The total amount of losses, excluding expenses which have been billed by the ceding company to the inuring excess of loss reinsurance for a claim.
    </t>
  </si>
  <si>
    <t>Inuring Reinsurance</t>
  </si>
  <si>
    <t xml:space="preserve">
A designation of other reinsurances which are first applied pursuant to the terms of the reinsurance agreement to reduce the loss subject to a particular reinsurance agreement.
    </t>
  </si>
  <si>
    <t>Investigation</t>
  </si>
  <si>
    <t xml:space="preserve">
This concept represents an investigation of some type.
e.g. During the placement process, the insurer may perform a claim investigation to validate claim history as reported by the applicant.
e.g. As part of the claim process, an insurer may choose to investigate a claim to verify the existence or not of fraud.
    </t>
  </si>
  <si>
    <t>Investigation  Cost Amount</t>
  </si>
  <si>
    <t xml:space="preserve">
This is the cost of the investigation.
    </t>
  </si>
  <si>
    <t>Investigator</t>
  </si>
  <si>
    <t xml:space="preserve">
This concept states one's role as an investigator.
    </t>
  </si>
  <si>
    <t>Investment Manager</t>
  </si>
  <si>
    <t xml:space="preserve">
A person or an organization which manages financial assets. They are responsible for the safekeeping of the assets and have a duty to take reasonable care to ensure that the financial assets are managed in accordance with regulations in force and with predetermined investment objectives.
    </t>
  </si>
  <si>
    <t>Investment Portfolio</t>
  </si>
  <si>
    <t xml:space="preserve">
This concept summarizes the account of an insurer. This concept details the account of the insurer, which is a global financial statement for funds owned by the insurer owns.  This is used to manage an insurance company's internal investment portfolio only. For managing an agreement (either insurance or investment), see Agreement.
    </t>
  </si>
  <si>
    <t>Investment Portfolio  Included Asset Holding</t>
  </si>
  <si>
    <t xml:space="preserve">
This represents an asset holding included within an investment portfolio.
    </t>
  </si>
  <si>
    <t>Investment Portfolio  Owner</t>
  </si>
  <si>
    <t xml:space="preserve">
This represents the insurance provider that owns the investment portfolio.
    </t>
  </si>
  <si>
    <t>Investment Portfolio Agreement</t>
  </si>
  <si>
    <t xml:space="preserve">
An account agreement  related to the management of financial positions of the account holder in financial assets.
    </t>
  </si>
  <si>
    <t>Investment Product</t>
  </si>
  <si>
    <t xml:space="preserve">
An insurance product that offers a return through market performance or interest applied. For example: Fixed annuities, variable annuities, and variable life products.
    </t>
  </si>
  <si>
    <t>Investment Risk Objective</t>
  </si>
  <si>
    <t xml:space="preserve">
The expression of how a portfolio, offered in a variable insurance product, will be run and by what means it will achieve its desired objectives. Some examples include: Balanced, Conservative Growth, Aggressive Growth, Government Bond, etc.
    </t>
  </si>
  <si>
    <t>Investment Vehicle</t>
  </si>
  <si>
    <t xml:space="preserve">
This concept specifies saving coverages' investment vehicles active on contract. Specific to Savings products.
    </t>
  </si>
  <si>
    <t>Investment Vehicle  Maturity Date Time</t>
  </si>
  <si>
    <t xml:space="preserve">
The date (and time) the investment will mature or expire.
    </t>
  </si>
  <si>
    <t>Investment Vehicle  Owned Unit Count</t>
  </si>
  <si>
    <t xml:space="preserve">
This represents the owned unit count of an investment (e.g. the investment may be a fund comprised of 10,000 units, of which a particular party actually owns 100 units).
    </t>
  </si>
  <si>
    <t>Investment Vehicle Method</t>
  </si>
  <si>
    <t xml:space="preserve">
This represents a payment method involving an investment vehicle on the particular agreement to which this payment method applies.
    </t>
  </si>
  <si>
    <t>Investment Vehicle Method  Utilized Investment Vehicle</t>
  </si>
  <si>
    <t xml:space="preserve">
This represents the investment vehicle on an agreement utilized for the investment vehicle method (e.g. a type of payment method).
    </t>
  </si>
  <si>
    <t>Investment Vehicle Specification  Asset Type Code</t>
  </si>
  <si>
    <t xml:space="preserve">
This represents a type of asset.
    </t>
  </si>
  <si>
    <t>Investment Vehicle Specification  Utilized Financial Asset</t>
  </si>
  <si>
    <t xml:space="preserve">
This represents the financial asset being utilized by an investment vehicle specification.
    </t>
  </si>
  <si>
    <t>Invoice</t>
  </si>
  <si>
    <t xml:space="preserve">
This concept demonstrates the physical nature of an invoice. This does not represent the part of financial operation, but simply the physically printed invoice mailed to the customer/service provider.
    </t>
  </si>
  <si>
    <t>Involved Driver</t>
  </si>
  <si>
    <t xml:space="preserve">
This represents the role of a driver involved in a claim.
    </t>
  </si>
  <si>
    <t>IPFA</t>
  </si>
  <si>
    <t xml:space="preserve">
Insurance Premium Financiers of Australia (IPFA)
    </t>
  </si>
  <si>
    <t>IRA</t>
  </si>
  <si>
    <t xml:space="preserve">
Individual Retirement Account (IRA)
    </t>
  </si>
  <si>
    <t>IRC</t>
  </si>
  <si>
    <t xml:space="preserve">
Internal Revenue Code (IRC)
    </t>
  </si>
  <si>
    <t>IRES</t>
  </si>
  <si>
    <t xml:space="preserve">
Insurance Regulatory Examiners Society (IRES)
    </t>
  </si>
  <si>
    <t>IRI</t>
  </si>
  <si>
    <t xml:space="preserve">
Insured Retirement Institute (IRI)
    </t>
  </si>
  <si>
    <t>IRLA</t>
  </si>
  <si>
    <t xml:space="preserve">
Insurance &amp; Reinsurance Legacy Association (IRLA)
    </t>
  </si>
  <si>
    <t>IRMI</t>
  </si>
  <si>
    <t xml:space="preserve">
International Risk Management Institute (IRMI)
    </t>
  </si>
  <si>
    <t>ISIN</t>
  </si>
  <si>
    <t xml:space="preserve">
International Securities Identification Number (ISIN)
    </t>
  </si>
  <si>
    <t>ISO</t>
  </si>
  <si>
    <t xml:space="preserve">
Insurance Services Office (ISO); International Standards Organization (ISO)
    </t>
  </si>
  <si>
    <t>Issued Units</t>
  </si>
  <si>
    <t xml:space="preserve">
Number of shares of an annuity fund for which a physical certificate has been issued, usually for the purposes of using as collateral.
    </t>
  </si>
  <si>
    <t>Issuing Bank</t>
  </si>
  <si>
    <t xml:space="preserve">
The bank/financial institution which debits and credits are posted for a financial account. The financial account is different from that of a bank or credit card account .
    </t>
  </si>
  <si>
    <t>ITA</t>
  </si>
  <si>
    <t xml:space="preserve">
Insurance Technology Association (ITA)
    </t>
  </si>
  <si>
    <t>Item Viewable Address</t>
  </si>
  <si>
    <t xml:space="preserve">
The location at which an item involved in a claim can be viewed.
    </t>
  </si>
  <si>
    <t>ITU-R</t>
  </si>
  <si>
    <t xml:space="preserve">
International Telecommunication Union Radiocommunication (ITU-R)
    </t>
  </si>
  <si>
    <t>IUA</t>
  </si>
  <si>
    <t xml:space="preserve">
International Underwriters Association (IUA)
    </t>
  </si>
  <si>
    <t>Jet Engine</t>
  </si>
  <si>
    <t xml:space="preserve">
A jet engine is a reaction engine discharging a fast moving jet that generates thrust by jet propulsion in accordance with Newton's laws of motion. This broad definition of jet engines includes turbojets, turbofans, rockets, ramjets, and pulse jets.
    </t>
  </si>
  <si>
    <t>Jet Engine Specification</t>
  </si>
  <si>
    <t xml:space="preserve">
This represents the specification for a jet engine.
    </t>
  </si>
  <si>
    <t>Jet Engine Specification  Type Code</t>
  </si>
  <si>
    <t xml:space="preserve">
This represents a type of jet engine.
    </t>
  </si>
  <si>
    <t>Jewelry</t>
  </si>
  <si>
    <t xml:space="preserve">
Jewelry is a form of personal adornment, manifesting itself as necklaces, rings, brooches, earrings and bracelets.
    </t>
  </si>
  <si>
    <t>Joint Age Basis</t>
  </si>
  <si>
    <t xml:space="preserve">
A method for calculating a single premium for defining a premium and benefits for joint coverage (insurance).
    </t>
  </si>
  <si>
    <t>Joint Covered Life</t>
  </si>
  <si>
    <t xml:space="preserve">
'Estimated life expectancy for covered persons under joint insurance.
    </t>
  </si>
  <si>
    <t>Joint Liability</t>
  </si>
  <si>
    <t xml:space="preserve">
The sharing of legal obligation by two or more persons.
    </t>
  </si>
  <si>
    <t>Joint Life Insurance</t>
  </si>
  <si>
    <t xml:space="preserve">
Coverage for two or more individuals where benefits are payable depending upon the life status of the individuals, details vary by contract.
    </t>
  </si>
  <si>
    <t>Joint Venture Participant</t>
  </si>
  <si>
    <t xml:space="preserve">
A member or participant involved in an agreement of two or more insurance companies to provide a product or service.
    </t>
  </si>
  <si>
    <t>Jurisdiction</t>
  </si>
  <si>
    <t xml:space="preserve">
The sphere of legal authority who's legal processes apply.
    </t>
  </si>
  <si>
    <t>KESA</t>
  </si>
  <si>
    <t xml:space="preserve">
The Kentucky Workers' Compensation Fund (KESA)
    </t>
  </si>
  <si>
    <t>Kitchen Fire Sprinkler System</t>
  </si>
  <si>
    <t xml:space="preserve">
A kitchen fire sprinkler system is an active fire protection measure designed specifically for the hazards associated with cooking.
    </t>
  </si>
  <si>
    <t>Kitchen Fire Sprinkler System  All Surfaces Indicator</t>
  </si>
  <si>
    <t xml:space="preserve">
This indicates the fire extinguishing system covers all cooking surfaces.
    </t>
  </si>
  <si>
    <t>Kitchen Fire Sprinkler System  Hoods And Ducts Over Equipment Indicator</t>
  </si>
  <si>
    <t xml:space="preserve">
This indicates the hoods and ducts are over all cooking equipment.
    </t>
  </si>
  <si>
    <t>Kitchen Fire Sprinkler System  Shut Off Indicator</t>
  </si>
  <si>
    <t xml:space="preserve">
This indicates there are automatic gas or electric shut offs for cooking.
    </t>
  </si>
  <si>
    <t>LAAIA</t>
  </si>
  <si>
    <t xml:space="preserve">
Latin American Association of Insurance Agencies (LAAIA)
    </t>
  </si>
  <si>
    <t>LAE</t>
  </si>
  <si>
    <t xml:space="preserve">
Loss Adjustment Expense (LAE)
    </t>
  </si>
  <si>
    <t>Land</t>
  </si>
  <si>
    <t xml:space="preserve">
This concept represents a land, which generally does not contain any construction.
    </t>
  </si>
  <si>
    <t>Land  Incline Degree</t>
  </si>
  <si>
    <t xml:space="preserve">
This represents the degree of the incline of land. This is relevant for structures constructed on a hillside.
    </t>
  </si>
  <si>
    <t>Land  Soil Type Code</t>
  </si>
  <si>
    <t xml:space="preserve">
The classification of the surface layer of this place. 
e.g: Sand, lime, rock, swamp.
    </t>
  </si>
  <si>
    <t>Land Vehicle</t>
  </si>
  <si>
    <t xml:space="preserve">
This concept gives particular features of a land vehicle.This concept provides a generalization of all vehicles that travel via land.
    </t>
  </si>
  <si>
    <t>Land Vehicle  Accessories Value Amount</t>
  </si>
  <si>
    <t xml:space="preserve">
The value of all accessories associated with the insured vehicle. These are typically "after-market" items that were added to the vehicle following its production by the manufacturer (e.g. audio equipment, special trim, spoilers, custom grill, etc.).
    </t>
  </si>
  <si>
    <t>Land Vehicle  Average Annual Distance Measurement</t>
  </si>
  <si>
    <t xml:space="preserve">
The average annual distance the vehicle is driven (e.g. 12,000 miles; 20,000 kilometers, etc.).
    </t>
  </si>
  <si>
    <t>Land Vehicle  Daily Distance Driven Measurement</t>
  </si>
  <si>
    <t xml:space="preserve">
The estimated usual distance traveled by a land vehicle in one day.
    </t>
  </si>
  <si>
    <t>Land Vehicle  Distance Driven Measurement</t>
  </si>
  <si>
    <t xml:space="preserve">
Total distance to date traveled by a road vehicle as indicated by the odometer.
    </t>
  </si>
  <si>
    <t>Land Vehicle  Dual Controls Indicator</t>
  </si>
  <si>
    <t xml:space="preserve">
This indicates the vehicle is equipped with dual controls (typically associated with driving school/driver education).
    </t>
  </si>
  <si>
    <t>Land Vehicle  First Circulation Date Time</t>
  </si>
  <si>
    <t xml:space="preserve">
The date (and time) at which the vehicle was agreed to be put on the road.
    </t>
  </si>
  <si>
    <t>Land Vehicle  Leased Code</t>
  </si>
  <si>
    <t xml:space="preserve">
A code indicating the nature of the lease associated with the vehicle.
    </t>
  </si>
  <si>
    <t>Land Vehicle  New At Purchase Indicator</t>
  </si>
  <si>
    <t xml:space="preserve">
Values are :
Yes for New
No for Second-hand
    </t>
  </si>
  <si>
    <t>Land Vehicle  Regular Driver Count</t>
  </si>
  <si>
    <t xml:space="preserve">
The count of drivers who regularly use the vehicle.
    </t>
  </si>
  <si>
    <t>Land Vehicle  Special Use Code</t>
  </si>
  <si>
    <t xml:space="preserve">
It indicates any special use of this vehicle. If more than one code is appropriate, the code representing the majority use should apply.
    </t>
  </si>
  <si>
    <t>Land Vehicle  Total Available Trailer Weight Measurement</t>
  </si>
  <si>
    <t xml:space="preserve">
This measures the strength of the trailer hitch on the land vehicle concerning capacity to tow a trailer.
For example, a truck may have a hitch with a capacity to tow a trailer with the following trailer weights:
 - trailer weight  3500 kg
 - trailer weight  2.5 tons
    </t>
  </si>
  <si>
    <t>Land Vehicle  Use Duration</t>
  </si>
  <si>
    <t xml:space="preserve">
Validity period of this use of a vehicle
    </t>
  </si>
  <si>
    <t>Land Vehicle  Use Mode Code</t>
  </si>
  <si>
    <t xml:space="preserve">
Specifies the utilization of the insurable object.
    </t>
  </si>
  <si>
    <t>Land Vehicle Score</t>
  </si>
  <si>
    <t xml:space="preserve">
The assessment result resulting from the assessment of a particular characteristic, or a set of characteristics, of a land vehicle. 
e.g: The assessment of the usage of the car of John Doe produces results : recorded mileage : 25.000 km, annual mileage : 15.000 km , daily mileage : 41 km.
    </t>
  </si>
  <si>
    <t>Land Vehicle Score  Damageability Code</t>
  </si>
  <si>
    <t xml:space="preserve">
A code indicating the relative degree of damageability of the vehicle.
    </t>
  </si>
  <si>
    <t>Land Vehicle Specification</t>
  </si>
  <si>
    <t xml:space="preserve">
This represents the specification of the characteristics of land vehicles. Manufacturers normally provide this information about their own products, though it may also be available from third parties. One of its utilities involves input for the insurance rating process.
    </t>
  </si>
  <si>
    <t>Land Vehicle Specification  Airbags Location Code</t>
  </si>
  <si>
    <t xml:space="preserve">
Identifies the location of safety airbags fitted in the land vehicle.
    </t>
  </si>
  <si>
    <t>Land Vehicle Specification  Amphibious Indicator</t>
  </si>
  <si>
    <t xml:space="preserve">
This indicates the vehicle design allows for amphibious use.
    </t>
  </si>
  <si>
    <t>Land Vehicle Specification  Axle Count</t>
  </si>
  <si>
    <t xml:space="preserve">
The number of axles on the specified land vehicle model.
    </t>
  </si>
  <si>
    <t>Land Vehicle Specification  Door Count</t>
  </si>
  <si>
    <t xml:space="preserve">
This represents the number of doors on a vehicle in a vehicle specification.
    </t>
  </si>
  <si>
    <t>Land Vehicle Specification  Driving Wheel Count</t>
  </si>
  <si>
    <t xml:space="preserve">
The number of wheels directly propelled by the engine.
    </t>
  </si>
  <si>
    <t>Land Vehicle Specification  ISO Road Vehicle Type Code</t>
  </si>
  <si>
    <t xml:space="preserve">
This represents the ISO road vehicle type code (ISO 3833:1977).
    </t>
  </si>
  <si>
    <t>Land Vehicle Specification  Performance Code</t>
  </si>
  <si>
    <t xml:space="preserve">
It indicates the performance level of the vehicle
    </t>
  </si>
  <si>
    <t>Land Vehicle Specification  Seat Belt Location Code</t>
  </si>
  <si>
    <t xml:space="preserve">
The location of seat belts fitted in this land vehicle model.
    </t>
  </si>
  <si>
    <t>Land Vehicle Specification  Seat Belt Type Code</t>
  </si>
  <si>
    <t xml:space="preserve">
It identifies the type of seat belt available in the vehicle.
    </t>
  </si>
  <si>
    <t>Landslide</t>
  </si>
  <si>
    <t xml:space="preserve">
A landslide or landslip is a geological phenomenon which includes a wide range of ground movements, such as rockfalls, deep failure of slopes and shallow debris flows, which can occur in offshore, coastal and onshore environments.
    </t>
  </si>
  <si>
    <t>Language Profile</t>
  </si>
  <si>
    <t xml:space="preserve">
Communication profile that specifies the preferences to be used for language capabilities.
    </t>
  </si>
  <si>
    <t>Language Profile  Language Code</t>
  </si>
  <si>
    <t xml:space="preserve">
A code representing the language used in communication (see ISO 639).
    </t>
  </si>
  <si>
    <t>Language Translation</t>
  </si>
  <si>
    <t xml:space="preserve">
Communication service that provides language conversion to facilitate the communication between parties. A RelayService activity that translates messages from one language into another, or converts messages from one medium to another.  e.g: Provide speech to text conversion to facilitate the communication with a deaf person. e.g: Provide translation service from Chinese into English for a Chinese speaking customer.
    </t>
  </si>
  <si>
    <t>Lapse</t>
  </si>
  <si>
    <t xml:space="preserve">
Insurance contract termination due to the insured's failure to make premium payments.
    </t>
  </si>
  <si>
    <t>Lapse Period</t>
  </si>
  <si>
    <t xml:space="preserve">
The span of time for which a contract is in a lapse status.
    </t>
  </si>
  <si>
    <t>Lawyer</t>
  </si>
  <si>
    <t xml:space="preserve">
This concept is used to handle lawyer information in case of claims being in relation with a judgment.
    </t>
  </si>
  <si>
    <t>LCD</t>
  </si>
  <si>
    <t xml:space="preserve">
Liquid Crystal Display (LCD)
    </t>
  </si>
  <si>
    <t>LDH</t>
  </si>
  <si>
    <t xml:space="preserve">
Lactate Dehydrogenase (LDH)
    </t>
  </si>
  <si>
    <t>LDL</t>
  </si>
  <si>
    <t xml:space="preserve">
Low Density Lipoprotein (LDL)
    </t>
  </si>
  <si>
    <t>Lead Insurer</t>
  </si>
  <si>
    <t xml:space="preserve">
When several insurers accept the risk of an insurance or reinsurance contract, this is the lead insurer/underwriter or the one who oversees the contract and normally takes over all communications with the insured.
    </t>
  </si>
  <si>
    <t>Lead Underwriter</t>
  </si>
  <si>
    <t xml:space="preserve">
See Lead Insurer.
    </t>
  </si>
  <si>
    <t>Legal Activity</t>
  </si>
  <si>
    <t xml:space="preserve">
An activity involving all aspects of legal actions. The legal action may be caused by non-fulfillment of a delivery of financial liability, service, or goods or by the breaking of an agreement between two or more parties.
e.g. An arbitration procedure in which an external expert decides on a settlement of a claim in case of a disagreement between the claimants' and the claimees' experts.
e.g. A litigation activity involving a court of law (or any recognized arbitration body) rendering judgment on a dispute between two parties or groups of parties. This includes criminal and civil cases. It also includes judgments of legal bodies concerning a violation of some law. 
e.g: Lawyer files a complaint at court.
e.g. countersignatures, notorization
    </t>
  </si>
  <si>
    <t>Legal Address</t>
  </si>
  <si>
    <t xml:space="preserve">
This provides the legal address or identification of an area of land.
NOTE: This address is also known as a land registry type of identification. There is no expectation postal mail would be delivered via use of this type of address.
    </t>
  </si>
  <si>
    <t>Legal Address Line</t>
  </si>
  <si>
    <t xml:space="preserve">
This concept represents one line of a legal address.
    </t>
  </si>
  <si>
    <t>Legal Address Line  Identifier</t>
  </si>
  <si>
    <t xml:space="preserve">
The unique identifier assigned to the legal address line.
For example, legal address: "Lot 5"
typeCode = "Lot"
identifier = "5"
    </t>
  </si>
  <si>
    <t>Legal Address Line  Identifying Legal Address</t>
  </si>
  <si>
    <t xml:space="preserve">
This represents the legal address comprised of one or more legal address lines.
    </t>
  </si>
  <si>
    <t>Legal Address Line  Sequence</t>
  </si>
  <si>
    <t xml:space="preserve">
This represents the sequence in which multiple instances of a legal address should be constructed.
    </t>
  </si>
  <si>
    <t>Legal Address Line  Type Code</t>
  </si>
  <si>
    <t xml:space="preserve">
A code indicating the manner in which an area of land is identified.
For example, legal address: "Lot 5"
typeCode = "Lot"
identifier = "5"
    </t>
  </si>
  <si>
    <t>Legal Adviser</t>
  </si>
  <si>
    <t xml:space="preserve">
A party employed by another party to give legal advice on any legal issue or on the way the latter conducts business. 
e.g: John Crook, legal advisor, providing advice on the fund's investments and asset management practices of a financial services company.
    </t>
  </si>
  <si>
    <t>Legal Representation</t>
  </si>
  <si>
    <t xml:space="preserve">
This concept defines the relationship between a legal representative and the party being represented.
    </t>
  </si>
  <si>
    <t>Legal Representation  Active Indicator</t>
  </si>
  <si>
    <t xml:space="preserve">
Indicates whether the Representative is active or inactive.
    </t>
  </si>
  <si>
    <t>Legal Representation  Function</t>
  </si>
  <si>
    <t xml:space="preserve">
Specifies the function of the representative in a business relation.
    </t>
  </si>
  <si>
    <t>Legal Representation  Legal Indicator</t>
  </si>
  <si>
    <t xml:space="preserve">
Indicates the representative is authorized as a "legal" representative.
    </t>
  </si>
  <si>
    <t>Legal Representation  Representative</t>
  </si>
  <si>
    <t xml:space="preserve">
This represents the representative in a legal representation relationship (e.g. the attorney representing a party in the context of legal representation is the "representative").
    </t>
  </si>
  <si>
    <t>Legal Representation  Represented Party</t>
  </si>
  <si>
    <t xml:space="preserve">
This represents the represented party in a legal representation relationship (e.g. the party represented by an attorney in the context of legal representation is the "represented party").
    </t>
  </si>
  <si>
    <t>Lender</t>
  </si>
  <si>
    <t xml:space="preserve">
A party that provides (money) temporarily, often at interest.
    </t>
  </si>
  <si>
    <t>Lessee</t>
  </si>
  <si>
    <t xml:space="preserve">
A party who leases property or workers (the receiver of the lease). In the case of real estate this is the tenant. In workers' compensation this is the company who leases the workers.
    </t>
  </si>
  <si>
    <t>Lessor</t>
  </si>
  <si>
    <t xml:space="preserve">
A party who grants a lease.
    </t>
  </si>
  <si>
    <t>Liability Account</t>
  </si>
  <si>
    <t xml:space="preserve">
The representation of an internal account that holds liabilities of the modeled organization. Liabilities in this context can be "on paper" liabilities (e.g., depreciation expense) or physical liabilities.
e.g: The liability account that holds Jane Doe's outstanding tax amounts collected with paid premiums but not yet paid to the corresponding government. 
e.g: The claims outstanding liability account holding the sum of all claims paid 'on paper' (payments with a future date) but not cleared yet.
    </t>
  </si>
  <si>
    <t>Liability Account  Hedging Account</t>
  </si>
  <si>
    <t xml:space="preserve">
This represents the account that is hedging another account.
    </t>
  </si>
  <si>
    <t>Liability Coverage</t>
  </si>
  <si>
    <t xml:space="preserve">
This insurance coverage class is used to express liability benefits for property and casualty insurance (aka General Insurance).
    </t>
  </si>
  <si>
    <t>Liability Insurance</t>
  </si>
  <si>
    <t xml:space="preserve">
Coverage for an insured' legal liability, excluding criminal acts, most intentional torts, and breach of contract.
    </t>
  </si>
  <si>
    <t>License</t>
  </si>
  <si>
    <t xml:space="preserve">
Permission to perform a function as authorized by a governmental entity.
    </t>
  </si>
  <si>
    <t>Licensed Professionals - Total</t>
  </si>
  <si>
    <t xml:space="preserve">
The total number of licensed professionals employed by a company, such as architects, accountants and engineers.
    </t>
  </si>
  <si>
    <t>Licensing Fee</t>
  </si>
  <si>
    <t xml:space="preserve">
The fees charged by the regulating jurisdiction for the right to function in that jurisdiction. Examples include: Agent, Insurer, etc.
    </t>
  </si>
  <si>
    <t>LIDMA</t>
  </si>
  <si>
    <t xml:space="preserve">
Life Insurance Direct Marketing Association (LIDMA)
    </t>
  </si>
  <si>
    <t>LIF</t>
  </si>
  <si>
    <t xml:space="preserve">
Life Income Fund (LIF)
    </t>
  </si>
  <si>
    <t>Life Coverage</t>
  </si>
  <si>
    <t xml:space="preserve">
This insurance coverage class is used to express life insurance benefits.
This can represent a single benefit, rider, provision, election, etc. typically found on, but not necessarily limited to, a life insurance policy.
    </t>
  </si>
  <si>
    <t>Life Coverage  Death Benefit Option Type Code</t>
  </si>
  <si>
    <t xml:space="preserve">
A code indicating the option chosen which would affect the death proceeds.
    </t>
  </si>
  <si>
    <t>Life Coverage  Death Benefit Payment Option Code</t>
  </si>
  <si>
    <t xml:space="preserve">
A code indicating the method requested for payment of death benefit.
    </t>
  </si>
  <si>
    <t>Life Coverage  Lives Count</t>
  </si>
  <si>
    <t xml:space="preserve">
The applicable count of lives associated with the coverage.
    </t>
  </si>
  <si>
    <t>Life Coverage  Lives Type Code</t>
  </si>
  <si>
    <t xml:space="preserve">
This represents the manner by which the coverage is based specific to an individual or individuals (e.g. Single, Joint, etc.).
    </t>
  </si>
  <si>
    <t>Life Coverage  Qualified Plan Type Code</t>
  </si>
  <si>
    <t xml:space="preserve">
A code indicating the qualified plan type for this policy. Insurance products can be sold as tax qualified products.
In the USA, a plan is 'qualified' by conforming to the requirements of the Internal Revenue Code (IRC), the Department of Labor (DOL) and the Employee Retirement Income Security Act (ERISA) of 1974.
Describes the applicable provision of tax law or regulatory compliance. For usage of "qualified plans" within the United States, this property defines the applicable statute within the Internal Revenue Code (reference www.irs.gov).
    </t>
  </si>
  <si>
    <t>Life Coverage Option</t>
  </si>
  <si>
    <t xml:space="preserve">
In Life and Disability Coverage, information about an additional benefit or supplement that applies to a coverage and generally may or may not generate additional premium. Examples include: accelerated benefits, accidental death and dismemberment, etc.
    </t>
  </si>
  <si>
    <t>Life Coverage Specification  Classification Code</t>
  </si>
  <si>
    <t xml:space="preserve">
A code representing the classification of a life coverage (e.g. base, rider, etc.).
    </t>
  </si>
  <si>
    <t>Life Coverage Specification  Type Code</t>
  </si>
  <si>
    <t xml:space="preserve">
This represents a life coverage.
    </t>
  </si>
  <si>
    <t>Life Event</t>
  </si>
  <si>
    <t xml:space="preserve">
This represents a significant event in the life of a party, including those events expected to occur in the future (e.g. someone is planning to get married or planning to move). These events typically trigger activities that impact agreements and/or underwriting decisions. In general, these events do not typically trigger a loss.
The utility involves supporting the need to follow-up on changes that may impact insurance coverages and the like (e.g. a re-assessment of the risk and related coverages/benefits may be appropriate).
    </t>
  </si>
  <si>
    <t>Life Form</t>
  </si>
  <si>
    <t xml:space="preserve">
The generalizing concept that defines details about a physical nature of a living creature.  This is an animal, plant life or the physical body part such as heart, lung or liver.
    </t>
  </si>
  <si>
    <t>Life Insurance Contract Pledging</t>
  </si>
  <si>
    <t xml:space="preserve">
Pledging a life insurance contract as loan collateral.
    </t>
  </si>
  <si>
    <t>Lifestyle Activity Violation</t>
  </si>
  <si>
    <t xml:space="preserve">
Activity of an insured which classifies as a hazardous activity; if not disclosed during the application process and benefits need to be paid as a result, claims may be denied.
    </t>
  </si>
  <si>
    <t>Lifestyle Detail</t>
  </si>
  <si>
    <t xml:space="preserve">
Types of general personal activities.
 e.g: Alcohol Use, Hobbies, Tobacco Use
    </t>
  </si>
  <si>
    <t>Lifestyle Detail  Description</t>
  </si>
  <si>
    <t xml:space="preserve">
A textual description of the lifestyle detail.
    </t>
  </si>
  <si>
    <t>Lifestyle Detail  Frequency Code</t>
  </si>
  <si>
    <t xml:space="preserve">
How often the person engages in this hobby/lifestyle activity on an annual basis.
    </t>
  </si>
  <si>
    <t>Lifestyle Detail  Last Occurrence Date Time</t>
  </si>
  <si>
    <t xml:space="preserve">
The date (and time) on which the last/latest lifestyle choice/activity occurred.
    </t>
  </si>
  <si>
    <t>Lifestyle Detail  Motive</t>
  </si>
  <si>
    <t xml:space="preserve">
The motive/reason for the lifestyle choice/activity .
    </t>
  </si>
  <si>
    <t>Lifestyle Experience</t>
  </si>
  <si>
    <t xml:space="preserve">
Lifestyle activities are performed by persons as a leisure pursuit. Such activities may be utilized for evaluating underwriting risk to determine premium payment and coverage offered by an insurer. Some examples include aviation, para-sailing, snow climbing, trail climbing, rodeo riding, etc.
    </t>
  </si>
  <si>
    <t>Lifestyle Experience  Average Time Spent Duration</t>
  </si>
  <si>
    <t xml:space="preserve">
This describes the average time the person spends on this hobby on an annual basis.
    </t>
  </si>
  <si>
    <t>Lifestyle Experience  Name</t>
  </si>
  <si>
    <t xml:space="preserve">
The name of the hobby.
e.g. Skydiving, photography
    </t>
  </si>
  <si>
    <t>Lifetime Value</t>
  </si>
  <si>
    <t xml:space="preserve">
An estimate of the future net profit to be obtained during the lifetime of a party. 
e.g: Lifetime value of doing business with Anna Wilton, EUR 250,000.
    </t>
  </si>
  <si>
    <t>Lightning</t>
  </si>
  <si>
    <t xml:space="preserve">
Lightning is a massive electrostatic discharge between the electrically charged regions within clouds or between a cloud and the Earth's surface.
    </t>
  </si>
  <si>
    <t>LIIBA</t>
  </si>
  <si>
    <t xml:space="preserve">
London &amp; International Insurance Brokers Association (LIIBA)
    </t>
  </si>
  <si>
    <t>Limit Component</t>
  </si>
  <si>
    <t xml:space="preserve">
This concept defines the key characteristics of a benefit limit regarding a coverage or the whole contract (Probable maximum loss).
Stop loss = maximum amount whatever the number of claims.
    </t>
  </si>
  <si>
    <t>Limit Component  Duration</t>
  </si>
  <si>
    <t xml:space="preserve">
This represents a duration of time when applicable for a limit (e.g. 30 days).
    </t>
  </si>
  <si>
    <t>Limit Component  Maximum Amount</t>
  </si>
  <si>
    <t xml:space="preserve">
Maximum amount that may reach the benefit in case it gets paid.
Can also be called "high deductible".
    </t>
  </si>
  <si>
    <t>Limit Component  Minimum Amount</t>
  </si>
  <si>
    <t xml:space="preserve">
The minimum amount of benefit.
    </t>
  </si>
  <si>
    <t>Limit Component  Payment Duration</t>
  </si>
  <si>
    <t>Limit Component  Percentage</t>
  </si>
  <si>
    <t xml:space="preserve">
Limit of the benefit expressed in percentage.
    </t>
  </si>
  <si>
    <t>Limit Component  Valuation Code</t>
  </si>
  <si>
    <t xml:space="preserve">
This represents the valuation type associated with the limit (e.g. an insurance coverage limit with a valuation of "agreed value" or "replacement cost", etc.)
    </t>
  </si>
  <si>
    <t>Limit Specification  Applies To Code</t>
  </si>
  <si>
    <t>Limousine</t>
  </si>
  <si>
    <t xml:space="preserve">
A limousine (or limo) is a luxury sedan or saloon car generally driven by a chauffeur and with a partition between the driver and the passenger compartment. Limousines often have a lengthened wheelbase.
    </t>
  </si>
  <si>
    <t>Limousine Specification</t>
  </si>
  <si>
    <t xml:space="preserve">
This represents the specification of the characteristics of a limousine.
    </t>
  </si>
  <si>
    <t>LIMRA</t>
  </si>
  <si>
    <t xml:space="preserve">
Life Insurance and Market Research Association (LIMRA)
    </t>
  </si>
  <si>
    <t>Line Of Authority</t>
  </si>
  <si>
    <t xml:space="preserve">
A condition of an appointment as an insurance or surety producer that defines the authorization to sell products on behalf of the company. Examples include group health, surety, travel, umbrella, life, etc.
    </t>
  </si>
  <si>
    <t>Line slip</t>
  </si>
  <si>
    <t xml:space="preserve">
A facility provided by one or more insurers or reinsurers which allows a broker to submit individual risks meeting a given set of criteria - e.g. Class of business and inception date - for acceptance. The insurers are bound only after acceptance by the Lead Underwriter(s) of the original contract.
    </t>
  </si>
  <si>
    <t>Line Slip Agreement</t>
  </si>
  <si>
    <t xml:space="preserve">
Facultative excess of loss line slip.
The Line Slip concept prevalent in proportional reinsurance can be applied equally to the Risk Excess. Under this semi-automatic arrangement, whereas each risk is offered by means of a separate slip, coverage up to an agreed maximum limit is guaranteed once the rates and other terms are agreed with the Leading Underwriter.
    </t>
  </si>
  <si>
    <t>Liquidity Risk Agreement</t>
  </si>
  <si>
    <t xml:space="preserve">
A risk agreement concerned with liquidity risk management.
    </t>
  </si>
  <si>
    <t>Liquidity Risk Exposure</t>
  </si>
  <si>
    <t xml:space="preserve">
A risk exposure arising as a consequence of a timing mismatch between asset and liability cash flow patterns.
    </t>
  </si>
  <si>
    <t>Liquidity Risk Factor Score</t>
  </si>
  <si>
    <t xml:space="preserve">
The rating of characteristics that have an impact on the likelihood of loss to occur. 
The rating of factors that contribute to liquidity risk.
    </t>
  </si>
  <si>
    <t>Liquidity Risk Position</t>
  </si>
  <si>
    <t xml:space="preserve">
The estimate of the possible loss for a liquidity risk exposure.
    </t>
  </si>
  <si>
    <t>Livestock</t>
  </si>
  <si>
    <t xml:space="preserve">
This concept gives details on a livestock. Livestock (also cattle) refers to one or more domesticated animals raised in an agricultural setting to produce commodities such as food or fiber, or labor.
The term "livestock" is nebulous and may be defined narrowly or broadly. On a broader view, livestock refers to any breed or population of animal kept by humans for a useful, commercial purpose. This can mean domestic animals, semi-domestic animals, or captive wild animals. Semi-domesticated refers to animals which are only lightly domesticated or of disputed status. These populations may also be in the process of domestication. Some people may use the term livestock to refer just to domestic animals or even just to red meat animals.
    </t>
  </si>
  <si>
    <t>Livestock  Free Range Indicator</t>
  </si>
  <si>
    <t xml:space="preserve">
Indicates if the livestock is in free range or not.
    </t>
  </si>
  <si>
    <t>LLC</t>
  </si>
  <si>
    <t xml:space="preserve">
Limited Liability Company (LLC)
    </t>
  </si>
  <si>
    <t>LMA</t>
  </si>
  <si>
    <t xml:space="preserve">
Lloyd's Market Association (LMA)
    </t>
  </si>
  <si>
    <t>LMG</t>
  </si>
  <si>
    <t xml:space="preserve">
London Market Group (LMG)
    </t>
  </si>
  <si>
    <t>Loading</t>
  </si>
  <si>
    <t xml:space="preserve">
Addition to the pure cost of insurance that reflects agent commissions, premium taxes, administrative costs associated with putting business on an insurance company's books, and contingencies.
    </t>
  </si>
  <si>
    <t>Loan</t>
  </si>
  <si>
    <t xml:space="preserve">
An agreement in which the financial institution provides funds, often with corresponding collateral associated with the loan, for the benefit of a customer that wants to borrow a sum of money.
e.g. Premium Finance - often associated with large commercial business
    </t>
  </si>
  <si>
    <t>Loan  Amount</t>
  </si>
  <si>
    <t xml:space="preserve">
The amount of money being loaned.
    </t>
  </si>
  <si>
    <t>Loan  Balance</t>
  </si>
  <si>
    <t xml:space="preserve">
The current amount of the outstanding loan, including the loan interest due.
    </t>
  </si>
  <si>
    <t>Loan  Credit Mechanism Code</t>
  </si>
  <si>
    <t xml:space="preserve">
The type of credit according to its mechanism, in relation with the nature of the requirements it meets.
    </t>
  </si>
  <si>
    <t>Loan  Maximum Amount</t>
  </si>
  <si>
    <t xml:space="preserve">
The amount of policy value available as a policy loan. If there is an existing loan, this is the amount of additional policy value that may be borrowed. It is the maximum available loan for this policy - for answering the question, "How much could I borrow from this policy?" Note: The value changes based upon the current loans outstanding on the agreement/contract.
    </t>
  </si>
  <si>
    <t>Loan Benefit</t>
  </si>
  <si>
    <t xml:space="preserve">
An  financial services agreement component describing the provision for lending or borrowing money or the actual loan thereof. 
e.g: Loan under an endowment policy.
    </t>
  </si>
  <si>
    <t>Loan Benefit  Loan Interest Payment Method Code</t>
  </si>
  <si>
    <t xml:space="preserve">
Indicates whether the interest for the loan is paid separately, or, whether it is added on to the principal amount in the loan, to be paid in one series of payments together with the repayment of the principal amount.
    </t>
  </si>
  <si>
    <t>Loan Benefit  Loan Reason Type Code</t>
  </si>
  <si>
    <t xml:space="preserve">
This field allows to describe the reasons of the loan
    </t>
  </si>
  <si>
    <t>Loan Benefit  Maximum Amount</t>
  </si>
  <si>
    <t xml:space="preserve">
The amount of policy value available as a loan benefit.
    </t>
  </si>
  <si>
    <t>Loan Benefit  Nature Of Loan</t>
  </si>
  <si>
    <t xml:space="preserve">
Values are
New
Re new
    </t>
  </si>
  <si>
    <t>Loan Benefit  Purpose Code</t>
  </si>
  <si>
    <t xml:space="preserve">
The purpose of the loan specifying how the money borrowed is used. 
e.g: Cash funding or clean credit 
e.g: Funding for the purchase of consumer goods or consumer credit 
e.g: Temporary funding
    </t>
  </si>
  <si>
    <t>Loan Benefit  Repayment Type Code</t>
  </si>
  <si>
    <t xml:space="preserve">
Categorization of installments according to the redemption mode applied. 
e.g: Amortisable. 
e.g: Fixed installment, this means that for every installment period, the amount of the installment is equal, but the interest and redemption parts of each installment are different. In the beginning of the loan there will be more interest and less redemption than at the end of the loan.
e.g: Fixed redemption, this means that for every installment period, the amount of the installment may be different: the part of the redemption of the loan is constant, while the interest part of each installment decreases. 
e.g: With interest.
    </t>
  </si>
  <si>
    <t>Loan Benefit Specification  Interest Rate Range</t>
  </si>
  <si>
    <t xml:space="preserve">
An interest rate is calculated for the reimbursement of the loan
    </t>
  </si>
  <si>
    <t>Loan Benefit Specification  Interest Type Code</t>
  </si>
  <si>
    <t xml:space="preserve">
Categorization of the loan component based on the variability of the applicable interest rate. 
Is derived from the interest specification in generic money provision. 
Derived from the interest specification related to the loan component.
    </t>
  </si>
  <si>
    <t>Loan Benefit Specification  Limit Rules</t>
  </si>
  <si>
    <t xml:space="preserve">
The loan is limited to a percentage of the value of the contract.
    </t>
  </si>
  <si>
    <t>Loan Benefit Specification  Refund Rules</t>
  </si>
  <si>
    <t xml:space="preserve">
Values include: Capital, Capital + Interest, Interest
    </t>
  </si>
  <si>
    <t>Loan Benefit Specification  Type Code</t>
  </si>
  <si>
    <t xml:space="preserve">
Type of loan
    </t>
  </si>
  <si>
    <t>Locks</t>
  </si>
  <si>
    <t xml:space="preserve">
This represents various aspects about the insulation of a structure (e.g. door locks, window locks, etc.).
    </t>
  </si>
  <si>
    <t>Locks  Relocking Device Indicator</t>
  </si>
  <si>
    <t xml:space="preserve">
This indicates a re-locking device exists (e.g. a safe or vault door may have a re-locking mechanism).
    </t>
  </si>
  <si>
    <t>Locks  Time Lock Indicator</t>
  </si>
  <si>
    <t xml:space="preserve">
This indicates a time lock exists.
    </t>
  </si>
  <si>
    <t>Locks  Type Code</t>
  </si>
  <si>
    <t xml:space="preserve">
A code indicating the type of lock(s) utilized on the structure (e.g. doors, windows, etc.).
    </t>
  </si>
  <si>
    <t>LOD</t>
  </si>
  <si>
    <t xml:space="preserve">
Losses Occurring During (LOD)
    </t>
  </si>
  <si>
    <t>LOMA</t>
  </si>
  <si>
    <t xml:space="preserve">
Life Office Management Association (LOMA)
    </t>
  </si>
  <si>
    <t>Long Term Care Coverage</t>
  </si>
  <si>
    <t xml:space="preserve">
This insurance coverage class is used to express long term care benefits.
    </t>
  </si>
  <si>
    <t>Long Term Care Coverage Specification  Type Code</t>
  </si>
  <si>
    <t xml:space="preserve">
This represents a long term care coverage.
    </t>
  </si>
  <si>
    <t>Long Term Liabilities Amount</t>
  </si>
  <si>
    <t xml:space="preserve">
An obligation of the enterprise arising from past events, the settlement of which is expected to result in an outflow from the enterprise of resources embodying economic benefits. Long-term liabilities are those that are not reasonably expected to be liquidated within a year.
    </t>
  </si>
  <si>
    <t>LORA</t>
  </si>
  <si>
    <t xml:space="preserve">
Losses On Risks Attaching (LORA)
    </t>
  </si>
  <si>
    <t>Loss</t>
  </si>
  <si>
    <t xml:space="preserve">
A reduction in the quality or value of property of a person's health, or a legal liability. See also Loss Expense.
    </t>
  </si>
  <si>
    <t>Loss Act Code</t>
  </si>
  <si>
    <t xml:space="preserve">
An insurance industry code that corresponds to the portion of the Workers' Compensation law under which the claim is covered. The source of this code list is the Workers' Compensation Insurance organizations (WCIO).
    </t>
  </si>
  <si>
    <t>Loss Adjuster</t>
  </si>
  <si>
    <t xml:space="preserve">
This concept states one's role as loss adjuster.
    </t>
  </si>
  <si>
    <t>Loss Adjuster  Serviced Loss Adjuster Relationship</t>
  </si>
  <si>
    <t xml:space="preserve">
This represents the relationship to which a loss adjuster participates with service provider.
    </t>
  </si>
  <si>
    <t>Loss Adjuster Relationship</t>
  </si>
  <si>
    <t xml:space="preserve">
This concept describes the relationship between the loss adjuster and the company.
    </t>
  </si>
  <si>
    <t>Loss Adjuster Report</t>
  </si>
  <si>
    <t xml:space="preserve">
This concept represents a document produced by the loss adjuster related to the loss/claim.
    </t>
  </si>
  <si>
    <t>Loss Adjuster Report  Conditions Of Appraisal</t>
  </si>
  <si>
    <t xml:space="preserve">
Gives basic information about the condition of what must be appraised. Example of use: vehicle is out of order
    </t>
  </si>
  <si>
    <t>Loss Adjuster Report  Repairable Indicator</t>
  </si>
  <si>
    <t xml:space="preserve">
True if the claim object can be repaired
    </t>
  </si>
  <si>
    <t>Loss Adjuster Report  Report Total Amount</t>
  </si>
  <si>
    <t xml:space="preserve">
Total amount of the report: sum of all LossAdjusterDamageEvaluation.evaluationAmountTI
    </t>
  </si>
  <si>
    <t>Loss Adjustment Case Assessment</t>
  </si>
  <si>
    <t xml:space="preserve">
This concept represents the outcome of the loss adjustment case handling. 
Technically, the loss adjustment case assessing is a sub-activity of the composite activity "Loss adjustment case".
The loss adjustment case assessment generates - as activity results - the compensation and damage evaluation amounts.
    </t>
  </si>
  <si>
    <t>Loss Adjustment Case Assessment  Estimation Accepted By Beneficiary Indicator</t>
  </si>
  <si>
    <t xml:space="preserve">
States whether the offered amount has been accepted by the beneficiary
    </t>
  </si>
  <si>
    <t>Loss Adjustment Expense (LAE)</t>
  </si>
  <si>
    <t xml:space="preserve">
The cost of adjusting losses, excluding the amount of the loss itself.
    </t>
  </si>
  <si>
    <t>Loss Cause</t>
  </si>
  <si>
    <t xml:space="preserve">
See Cause of Loss.
    </t>
  </si>
  <si>
    <t>Loss Condition</t>
  </si>
  <si>
    <t xml:space="preserve">
An industry code that contains information on the loss conditions of a claim (e.g. the condition type, settlement, recovery and jurisdiction). The source of this code list is the Workers Compensation Insurance Organizations (WCIO).
    </t>
  </si>
  <si>
    <t>Loss Control</t>
  </si>
  <si>
    <t xml:space="preserve">
A risk management technique that seeks to reduce the possibility that a loss will occur and/or reduce the severity of those that do occur.
    </t>
  </si>
  <si>
    <t>Loss Estimation</t>
  </si>
  <si>
    <t xml:space="preserve">
This concept handles the estimated loss for the damage for all the contract coverages that may be impacted by the loss.
    </t>
  </si>
  <si>
    <t>Loss Estimation  Estimate Type Code</t>
  </si>
  <si>
    <t xml:space="preserve">
A list of the various types of estimates that can be provided.
    </t>
  </si>
  <si>
    <t>Loss Estimation  Tax Amount</t>
  </si>
  <si>
    <t xml:space="preserve">
Total amount of taxes
    </t>
  </si>
  <si>
    <t>Loss Estimation  Valuation Method Code</t>
  </si>
  <si>
    <t xml:space="preserve">
A code list identifying the method used to determine the item value
    </t>
  </si>
  <si>
    <t>Loss Event</t>
  </si>
  <si>
    <t xml:space="preserve">
Loss event is a general event that is the origin of loss occurrences.
Events like a hurricane, flood, any other disaster, are generally the source of several loss events. It might be used for natural disaster management or any loss event, which needs to regroup loss events and claims under the same base. It is qualified by a range of dates, hours, and locations.
In most of the countries, specific rules are applied to manage the claims due to major events (special funds, special deductible, etc.)
    </t>
  </si>
  <si>
    <t>Loss Event  Caused Condition</t>
  </si>
  <si>
    <t xml:space="preserve">
This represents the condition caused by a loss event.
e.g: The person's injury was caused by an automobile accident.
    </t>
  </si>
  <si>
    <t>Loss Event  Causing Physical Object</t>
  </si>
  <si>
    <t xml:space="preserve">
This represents a physical object causing the loss event.
    </t>
  </si>
  <si>
    <t>Loss Event  Event Reception Date Time</t>
  </si>
  <si>
    <t xml:space="preserve">
The date (and time) of reception of the information (e.g. when has it been received).
    </t>
  </si>
  <si>
    <t>Loss Event  Involved Physical Object</t>
  </si>
  <si>
    <t xml:space="preserve">
This represents a physical object involved in the loss event.
    </t>
  </si>
  <si>
    <t>Loss Event  Major Indicator</t>
  </si>
  <si>
    <t xml:space="preserve">
Indicates if the loss event is considered as a major event.
    </t>
  </si>
  <si>
    <t>Loss Event  Market Cost Amount</t>
  </si>
  <si>
    <t xml:space="preserve">
Indicates the market cost of a market event.
    </t>
  </si>
  <si>
    <t>Loss Event  Market Indicator</t>
  </si>
  <si>
    <t xml:space="preserve">
Indicates if the loss event is considered as a market event.
    </t>
  </si>
  <si>
    <t>Loss Event  Market Name</t>
  </si>
  <si>
    <t xml:space="preserve">
Indicates the name given to the loss event by the market. Can be different than the loss event name that most of the time has been given by the insurer before the market recognition.
    </t>
  </si>
  <si>
    <t>Loss Event  Market Recognition Date Time</t>
  </si>
  <si>
    <t xml:space="preserve">
The date (and time) at which the loss event has been considered as a market event.
    </t>
  </si>
  <si>
    <t>Loss Event  Natural Catastrophe Indicator</t>
  </si>
  <si>
    <t xml:space="preserve">
Indicates if the event is a natural catastrophe.
    </t>
  </si>
  <si>
    <t>Loss Event Category</t>
  </si>
  <si>
    <t xml:space="preserve">
This concept specifies a loss event category.
    </t>
  </si>
  <si>
    <t>Loss History</t>
  </si>
  <si>
    <t xml:space="preserve">
This contains information regarding past losses.
    </t>
  </si>
  <si>
    <t>Loss Location</t>
  </si>
  <si>
    <t xml:space="preserve">
Information regarding the location reporting the loss incident. Examples include: street, city, state, floor in a hospital, nursing home, milepost 475, employers parking lot, etc.
    </t>
  </si>
  <si>
    <t>Loss Notification</t>
  </si>
  <si>
    <t xml:space="preserve">
A loss notification is the starting point of a claim procedure. A client or another person (family, etc.) declares a loss event. This will be used in order to store all details of a loss event. It is related to a loss event object and the person declaring the loss.
    </t>
  </si>
  <si>
    <t>Loss Notification  Completion Date Time</t>
  </si>
  <si>
    <t xml:space="preserve">
The date (and time) the notification of loss has been fully completed.
    </t>
  </si>
  <si>
    <t>Loss Notification  Declaration Date Time</t>
  </si>
  <si>
    <t xml:space="preserve">
The date (and time) the notification of loss has been declared.
    </t>
  </si>
  <si>
    <t>Loss Notification  Described Loss Occurrence</t>
  </si>
  <si>
    <t xml:space="preserve">
This represents the loss occurrence described by a loss notification.
    </t>
  </si>
  <si>
    <t>Loss Notification  Identified Financial Services Agreement</t>
  </si>
  <si>
    <t xml:space="preserve">
This represents the financial services agreement identified by a loss notification.
    </t>
  </si>
  <si>
    <t>Loss Notification  Method</t>
  </si>
  <si>
    <t xml:space="preserve">
This field allows to store the type of notice of loss (verbal declaration, letter, other)
    </t>
  </si>
  <si>
    <t>Loss Notification  Preferred Media Code</t>
  </si>
  <si>
    <t xml:space="preserve">
The media used to perform the notice of loss
    </t>
  </si>
  <si>
    <t>Loss Notification  Reception Date Time</t>
  </si>
  <si>
    <t xml:space="preserve">
The date (and time) when the notice of loss is received by the claim management organization.
    </t>
  </si>
  <si>
    <t>Loss Notification Authority</t>
  </si>
  <si>
    <t xml:space="preserve">
A party, other than any party servicing the claim (e.g. agent, insurer, etc.) to whom the loss is officially reported (e.g. police department, fire department, etc.).
    </t>
  </si>
  <si>
    <t>Loss Occurrence</t>
  </si>
  <si>
    <t xml:space="preserve">
A loss occurrence is the base of one or several claims. The death of a person might impact several contracts even if it is a single event. The loss occurrence is qualified by a date, a location, a type, a potential cause, eventual circumstances.
    </t>
  </si>
  <si>
    <t>Loss Occurrence  Accident Indicator</t>
  </si>
  <si>
    <t xml:space="preserve">
Indicates whether the event is an accident, which could not have been predicted and is due to an external cause.
    </t>
  </si>
  <si>
    <t>Loss Occurrence  Date Time</t>
  </si>
  <si>
    <t xml:space="preserve">
The date (and time) of the loss occurrence.
    </t>
  </si>
  <si>
    <t>Loss Occurrence  Description</t>
  </si>
  <si>
    <t xml:space="preserve">
Description of the circumstances of the loss occurrence.
    </t>
  </si>
  <si>
    <t>Loss Occurrence  Involved Peril</t>
  </si>
  <si>
    <t xml:space="preserve">
This represents the peril involved in a loss occurrence.
    </t>
  </si>
  <si>
    <t>Loss Occurrence  Occurring Place</t>
  </si>
  <si>
    <t xml:space="preserve">
This is the geographic place associated with a loss occurrence.
    </t>
  </si>
  <si>
    <t>Loss Occurrence  Originating Loss Event</t>
  </si>
  <si>
    <t xml:space="preserve">
This represents the loss event from which the loss occurrence originates.
    </t>
  </si>
  <si>
    <t>Loss Occurrence  Police Report Indicator</t>
  </si>
  <si>
    <t xml:space="preserve">
This attribute indicates a police report was filed.
    </t>
  </si>
  <si>
    <t>Loss Occurrence  Third Party Involved Indicator</t>
  </si>
  <si>
    <t xml:space="preserve">
This indicates that a third party is involved and identified
    </t>
  </si>
  <si>
    <t>Loss Occurrence  Traffic Accident Indicator</t>
  </si>
  <si>
    <t xml:space="preserve">
Indicates whether the event is a traffic accident. This cause may affect the way the benefit is calculated.
    </t>
  </si>
  <si>
    <t>Loss Occurrence  Work Accident Indicator</t>
  </si>
  <si>
    <t xml:space="preserve">
Indicates whether the accident has taken place during work time or not.
    </t>
  </si>
  <si>
    <t>Loss Of Use</t>
  </si>
  <si>
    <t xml:space="preserve">
The condition of complete or partial restriction of use or any prohibition of use of a property due to a covered loss event or condition.
    </t>
  </si>
  <si>
    <t>Loss Retention</t>
  </si>
  <si>
    <t xml:space="preserve">
'The monetary value of the amount which the reinsured's losses (excluding expenses and interest), arising from a single occurrence, must exceed before they may be collected on the reinsurance contract.
    </t>
  </si>
  <si>
    <t>Loss Settlement Date</t>
  </si>
  <si>
    <t xml:space="preserve">
The date on which the agreement is reached to pay the loss.
    </t>
  </si>
  <si>
    <t>Losses In Excess Of Contract Limits</t>
  </si>
  <si>
    <t xml:space="preserve">
An expression used in reinsurance agreements that refers to damages awarded by a court against an insurer in favor of the insured, due to the insurer's having failed to settle a third-party claim against the insured within the contract limits by reason of bad faith, fraud or gross negligence.
    </t>
  </si>
  <si>
    <t>Lost Capability</t>
  </si>
  <si>
    <t xml:space="preserve">
Identifies any specific diminished capacity associated with the medical condition within the context of a claim.
    </t>
  </si>
  <si>
    <t>Lowest Adjacent Grade</t>
  </si>
  <si>
    <t xml:space="preserve">
A measurement of the height (elevation) of the lowest lying adjacent land. This is typically used in flood insurance.
    </t>
  </si>
  <si>
    <t>Loyalty Score</t>
  </si>
  <si>
    <t xml:space="preserve">
A rating of the tendency of a  party to remain loyal to a company, indicating the likelihood that the party may or may not purchase from another company. 
e.g: High loyalty score to the Insurance company for policyholder Marc Durand.
    </t>
  </si>
  <si>
    <t>Loyalty Score  Rating Code</t>
  </si>
  <si>
    <t xml:space="preserve">
The tendency of a party to remain loyal to a company, indicating the likelihood that a party may or may not purchase from another company. 
e.g: High 
e.g: Low 
e.g: Medium
    </t>
  </si>
  <si>
    <t>LPCA</t>
  </si>
  <si>
    <t xml:space="preserve">
Louisiana Pest Control Association (LPCA)
    </t>
  </si>
  <si>
    <t>LPG</t>
  </si>
  <si>
    <t xml:space="preserve">
Liquefied Petroleum Gas (LPG)
    </t>
  </si>
  <si>
    <t>LREACT</t>
  </si>
  <si>
    <t xml:space="preserve">
Life Reinsurance Activity Message (LREACT)
    </t>
  </si>
  <si>
    <t>LSRP</t>
  </si>
  <si>
    <t xml:space="preserve">
Loss Sensitive Rating Program (LSRP)
    </t>
  </si>
  <si>
    <t>Lump Sum Benefit</t>
  </si>
  <si>
    <t xml:space="preserve">
A sum of money payable as a single payment to the insured, beneficiary, claimant, etc.
    </t>
  </si>
  <si>
    <t>LUTCF</t>
  </si>
  <si>
    <t xml:space="preserve">
Life Underwriter Training Council Fellow (LUTCF)
    </t>
  </si>
  <si>
    <t>Machinery</t>
  </si>
  <si>
    <t xml:space="preserve">
TA representation for any kind of mechanical item, such as machines in a manufacturing facility or machines in a garage. Note that this is not an abstraction for tools, only machines (i.e., machines have some kind of motor or automation).
    </t>
  </si>
  <si>
    <t>Machinery Specification</t>
  </si>
  <si>
    <t xml:space="preserve">
This represents the specification of the characteristics of a machinery item.
    </t>
  </si>
  <si>
    <t>Malingering</t>
  </si>
  <si>
    <t xml:space="preserve">
Feigning a disability or an illness in order to collect insurance benefits, especially following a recovery from a covered disability.
    </t>
  </si>
  <si>
    <t>Management Expenses</t>
  </si>
  <si>
    <t xml:space="preserve">
Expenses that cover all costs related to the management of the reinsurance premium. It is normally based on a percentage of the reinsurance premium.
    </t>
  </si>
  <si>
    <t>Management Expenses Allowance Basis Code</t>
  </si>
  <si>
    <t xml:space="preserve">
Code which indicates the basis on which the management expenses allowance is determined on profit commission calculations.
    </t>
  </si>
  <si>
    <t>Management Expenses Allowance Percentage</t>
  </si>
  <si>
    <t xml:space="preserve">
Percentage allowed for reinsurer's management expenses in profit/loss calculations.
    </t>
  </si>
  <si>
    <t>Managing General Agent</t>
  </si>
  <si>
    <t xml:space="preserve">
Any person, partnership or corporation representing an insurer or reinsurer, and underwriting for that insurer's or reinsurer's account.
    </t>
  </si>
  <si>
    <t>Mandated Benefit</t>
  </si>
  <si>
    <t xml:space="preserve">
Benefits or coverages required by law to be included in health insurance contracts.
    </t>
  </si>
  <si>
    <t>Manner Of Loss</t>
  </si>
  <si>
    <t>Manufactured Item</t>
  </si>
  <si>
    <t xml:space="preserve">
A physical object that is manufactured and optionally based on a model specification.
    </t>
  </si>
  <si>
    <t>Manufactured Item  Brand Name</t>
  </si>
  <si>
    <t xml:space="preserve">
Identifies the brand of the manufactured item.
    </t>
  </si>
  <si>
    <t>Manufactured Item  Color Code</t>
  </si>
  <si>
    <t xml:space="preserve">
The color of the manufactured item.
    </t>
  </si>
  <si>
    <t>Manufactured Item  Manufactured Date Time</t>
  </si>
  <si>
    <t xml:space="preserve">
The date (and time) at which this manufactured item was built.
    </t>
  </si>
  <si>
    <t>Manufactured Item Part</t>
  </si>
  <si>
    <t xml:space="preserve">
Any feature that may initially be part of a manufactured item or be added afterwards, which may influence the insurance premium.
    </t>
  </si>
  <si>
    <t>Manufactured Item Specification</t>
  </si>
  <si>
    <t xml:space="preserve">
The specification of the characteristics of a manufactured item.   The specification pattern is used throughout the Physical Object package.  All manufactured items have a corresponding Specification.
The Manufactured Item Specification include details related to the template used in the manufacturing process.  The attributes on each specification are static for individual instances of the related physical objects.
    </t>
  </si>
  <si>
    <t>Manufactured Item Specification  Estimated Market Amount</t>
  </si>
  <si>
    <t xml:space="preserve">
The approximate value at a given point in time for a physical object, based on the specification defined for this model specification. 
e.g: Determine the current value of a 1989 Honda Accord as of today.
    </t>
  </si>
  <si>
    <t>Manufactured Item Specification  First Manufactured Date Time</t>
  </si>
  <si>
    <t xml:space="preserve">
The date (and time) on which the first manufactured item was manufactured based on the model specification.
    </t>
  </si>
  <si>
    <t>Manufactured Item Specification  Last Manufactured Date Time</t>
  </si>
  <si>
    <t xml:space="preserve">
The date (and time) at which the last object of this model specification has been manufactured.
    </t>
  </si>
  <si>
    <t>Manufactured Item Specification  List Price New Amount</t>
  </si>
  <si>
    <t xml:space="preserve">
The suggested purchase price of this particular model specification, based on the features fitted as standard.
    </t>
  </si>
  <si>
    <t>Manufactured Item Specification  Make</t>
  </si>
  <si>
    <t xml:space="preserve">
The classification of this model specification that identifies the family or range to which it belongs. 
e.g: Bayer Aspirin for drugs. 
e.g: Ford Taurus for cars.
    </t>
  </si>
  <si>
    <t>Manufactured Item Specification  Model</t>
  </si>
  <si>
    <t xml:space="preserve">
The classification of this particular model specification that distinguishes it from other models in the same range (make). 
e.g: EcoWash 1100 for an Acme washing-machine.
    </t>
  </si>
  <si>
    <t>Manufactured Item Specification  Model Year</t>
  </si>
  <si>
    <t xml:space="preserve">
The year for this model specification, and is part of the unique identification of the model. Note that model specifications may change from year to year. 
e.g: options than the 1995 model.
    </t>
  </si>
  <si>
    <t>Manufactured Item Specification  Resulting Mobile Home</t>
  </si>
  <si>
    <t xml:space="preserve">
This represents a mobile home that is based on a manufactured item specification.
    </t>
  </si>
  <si>
    <t>Manufactured Item Specification  Resulting Swimming Pool</t>
  </si>
  <si>
    <t xml:space="preserve">
This represents a swimming pool that is based on a manufactured item specification.
    </t>
  </si>
  <si>
    <t>Manufactured Item Specification  Series</t>
  </si>
  <si>
    <t xml:space="preserve">
The classification of a collection of produced items based on a common set of construction characteristics such as construction specification, place of construction and period of construction. Series are subgroups of models.
    </t>
  </si>
  <si>
    <t>Manufactured Item Specification  Specification Dimension</t>
  </si>
  <si>
    <t xml:space="preserve">
This represents the physical dimension (e.g. proportion, size) of a manufactured item specification (e.g. the blueprint/specification indicates a vehicle height of 55 inches, a piston engine's displacement is 1.5 liters, etc.).
NOTE: This is the dimension in the specification, not the actual, physical dimension of a particular object.
    </t>
  </si>
  <si>
    <t>Manufactured Part Specification</t>
  </si>
  <si>
    <t xml:space="preserve">
This represents the specification of the characteristics of a manufactured item part.
    </t>
  </si>
  <si>
    <t>Marine Vhf Radio Contact</t>
  </si>
  <si>
    <t xml:space="preserve">
This concept represents a marine VHF radio  as a means of contact.
    </t>
  </si>
  <si>
    <t>Marine Vhf Radio Contact  Mmsi Number</t>
  </si>
  <si>
    <t xml:space="preserve">
This represents the MMSI number "address" for a marine VHF radio contact.
    </t>
  </si>
  <si>
    <t>Market Place</t>
  </si>
  <si>
    <t xml:space="preserve">
This concept defines the target area and prospects of a product.
    </t>
  </si>
  <si>
    <t>Market Place  Name</t>
  </si>
  <si>
    <t xml:space="preserve">
This is the name of the marketplace.
    </t>
  </si>
  <si>
    <t>Market Place  Place</t>
  </si>
  <si>
    <t xml:space="preserve">
This represents the geographic place identified as the target market.
    </t>
  </si>
  <si>
    <t>Market Plan</t>
  </si>
  <si>
    <t xml:space="preserve">
A document composed of an analysis of the current marketing situation, opportunities and threats analysis, marketing objectives, marketing strategy, action programs, and projected or pro-forma income (and other financial) statements.
    </t>
  </si>
  <si>
    <t>Market Research &amp; Analysis</t>
  </si>
  <si>
    <t xml:space="preserve">
The business capability to understand the market for financial services products and recommend ways to capitalize on the market.
    </t>
  </si>
  <si>
    <t>Market Risk Agreement</t>
  </si>
  <si>
    <t xml:space="preserve">
A risk agreement concerned with market risk management.
    </t>
  </si>
  <si>
    <t>Market Risk Exposure</t>
  </si>
  <si>
    <t xml:space="preserve">
A risk exposure which arises from changes in the market price of equities, funds, commodities and alike.
    </t>
  </si>
  <si>
    <t>Market Risk Factor Score</t>
  </si>
  <si>
    <t xml:space="preserve">
The rating of characteristics that have an impact on the likelihood of loss to occur. 
The rating of factors that contribute to market risk.
    </t>
  </si>
  <si>
    <t>Market Risk Position</t>
  </si>
  <si>
    <t xml:space="preserve">
The estimate of the possible loss for a market risk exposure.
    </t>
  </si>
  <si>
    <t>Market Segment</t>
  </si>
  <si>
    <t xml:space="preserve">
One of two or more subgroups within a target market. These subgroups may be distinguished by one or more salient differences. For example, different marketing mix strategies can be developed to reach each of the target market segments.
    </t>
  </si>
  <si>
    <t>Market Segmentation</t>
  </si>
  <si>
    <t xml:space="preserve">
The process of subdividing a market into distinct subsets of customers that behave in the same way or have similar needs.
    </t>
  </si>
  <si>
    <t>Market Segmentation Strategy</t>
  </si>
  <si>
    <t xml:space="preserve">
Having segmented a market, the task is then to determine which segments are profitable to serve. The business can adopt one of three market segmentation strategies : (1) undifferentiated marketing-in which the business attempts to go after the whole market with a product and marketing strategy intended to have mass appeal; (2) differentiated marketing-in which the business operates in several segments of the market with offerings and market strategies tailored to each segment; (3) concentrated marketing-in which the business focuses on only one or a few segments with the intention of capturing a large share of these segments.
    </t>
  </si>
  <si>
    <t>Market Segmentation Strategy Plan</t>
  </si>
  <si>
    <t xml:space="preserve">
A Market Segmentation Strategy Plan is a deliverable/outcome of the process of developing a Market Segmentation Strategy.
    </t>
  </si>
  <si>
    <t>Market Strategy</t>
  </si>
  <si>
    <t>Market Value Adjustment (MVA)</t>
  </si>
  <si>
    <t xml:space="preserve">
In a life insurance contract, the increase or decrease in the surrender charge of the life insurance contract or annuity depending on the current financial markets. The Cash Value is adjusted upward if the policy interest rate is greater than the current interest rate on new money and thus, if interest rates decline after the insurance policy or annuity contract purchase date, the surrender charge becomes less than that exhibited. Conversely, the cash value is adjusted downward if the policy interest rate is less than the current interest rate on new money and thus, if interest rates rise after the insurance policy or annuity contract purchase date, the surrender charge becomes greater than that exhibited.
    </t>
  </si>
  <si>
    <t>Marketing Calculation Method</t>
  </si>
  <si>
    <t xml:space="preserve">
Calculation method or formula used for calculating the rate of return. The method can be Dollar-weighted (expense vs. revenue generated) or Time-weighted (start date of marketing campaign vs. date initial favorable response received).
    </t>
  </si>
  <si>
    <t>Marketing Campaign</t>
  </si>
  <si>
    <t xml:space="preserve">
A specific, defined series of activities used in marketing a product or service, or in using new marketing channels and methods. Like a promotion, the future estimated effects of a new marketing campaign must be included in demand and resource planning.
    </t>
  </si>
  <si>
    <t>Marketing Campaign  Customer Relationship</t>
  </si>
  <si>
    <t xml:space="preserve">
This represents the customer relationship associated with a marketing campaign.
    </t>
  </si>
  <si>
    <t>Marketing Campaign  Marketed Product Specification</t>
  </si>
  <si>
    <t xml:space="preserve">
This represents the product specification (e.g. blueprint/design) being marketed by a marketing campaign (e.g. this is the product being marketed by the campaign).
    </t>
  </si>
  <si>
    <t>Marketing Campaign  Media Format Code</t>
  </si>
  <si>
    <t xml:space="preserve">
This represents the type of media format utilized in the marketing campaign.
    </t>
  </si>
  <si>
    <t>Marketing Campaign  Supported Marketing Objective</t>
  </si>
  <si>
    <t xml:space="preserve">
This represents the marketing objective being supported by a marketing campaign.
    </t>
  </si>
  <si>
    <t>Marketing Campaign  Type</t>
  </si>
  <si>
    <t xml:space="preserve">
Marketing campaigns are categorized by type, such campaign types that include direct mail, telemarketing, conventions and trade advertising. By categorizing marketing campaigns, the system can provide the results of similar marketing efforts for management.
    </t>
  </si>
  <si>
    <t>Marketing Campaign  Utilized Party Marketing Information</t>
  </si>
  <si>
    <t xml:space="preserve">
This represents the party marketing information (e.g. marketing profile data) being utilized by a marketing campaign.
    </t>
  </si>
  <si>
    <t>Marketing Campaign  Utilized Target Market</t>
  </si>
  <si>
    <t xml:space="preserve">
This represents the target market being utilized by a marketing campaign.
    </t>
  </si>
  <si>
    <t>Marketing Campaign Acquisition Cost</t>
  </si>
  <si>
    <t xml:space="preserve">
The administrative costs and commissions associated with a target campaign response. The specific costs included in the calculation are determined by the individual company.
    </t>
  </si>
  <si>
    <t>Marketing Campaign Activity</t>
  </si>
  <si>
    <t xml:space="preserve">
Description of the key task or steps to be performed during the marketing campaign. An example would be distributing or mailing printed material to prospects.
    </t>
  </si>
  <si>
    <t>Marketing Campaign Category</t>
  </si>
  <si>
    <t xml:space="preserve">
The category to which the campaign belongs. An example would be advertising campaign, promotional campaign, etc.
    </t>
  </si>
  <si>
    <t>Marketing Campaign Cell</t>
  </si>
  <si>
    <t xml:space="preserve">
The maximum number of parties from the target group allocated to a campaign cell.
    </t>
  </si>
  <si>
    <t>Marketing Campaign Communication Cost - Actual</t>
  </si>
  <si>
    <t xml:space="preserve">
The actual marketing campaign communication costs associated with interacting with prospects. The actual calculation will vary by individual company.
    </t>
  </si>
  <si>
    <t>Marketing Campaign Communication Cost - Forecast</t>
  </si>
  <si>
    <t xml:space="preserve">
The forecast cost of interacting with prospects using various communication media, including the cost of phone calls, stationery, brochures, etc.
    </t>
  </si>
  <si>
    <t>Marketing Campaign Costs</t>
  </si>
  <si>
    <t xml:space="preserve">
Total costs (variable and fixed) resulting from the campaign. These costs can include costs such as communications costs and acquisition costs.
    </t>
  </si>
  <si>
    <t>Marketing Campaign Financial Gain</t>
  </si>
  <si>
    <t xml:space="preserve">
Total financial gain resulting from the campaign.
    </t>
  </si>
  <si>
    <t>Marketing Campaign Fixed Cost</t>
  </si>
  <si>
    <t xml:space="preserve">
The total fixed costs of the campaign that are fully or locally invariant with respect to the number of prospects. An example would be graphic design, marketing staff salaries, etc.
    </t>
  </si>
  <si>
    <t>Marketing Campaign Plan</t>
  </si>
  <si>
    <t xml:space="preserve">
The combination of various advertising, public relations, sales promotion, and personal selling activities used by the marketer over a period of time to achieve predetermined goals.
    </t>
  </si>
  <si>
    <t>Marketing Campaign Rate Of Return</t>
  </si>
  <si>
    <t xml:space="preserve">
The gain or loss of a marketing campaign over a specified period, expressed as a percentage increase over the initial market share.
    </t>
  </si>
  <si>
    <t>Marketing Campaign Status</t>
  </si>
  <si>
    <t xml:space="preserve">
This represents the status of a marketing campaign.
    </t>
  </si>
  <si>
    <t>Marketing Campaign Status  Code</t>
  </si>
  <si>
    <t xml:space="preserve">
Status of the campaign.
    </t>
  </si>
  <si>
    <t>Marketing Campaign Targeted Segment</t>
  </si>
  <si>
    <t xml:space="preserve">
Market segment targeted in campaign. Ex : Customer Segment identified by a data mining algorithm.
    </t>
  </si>
  <si>
    <t>Marketing Campaign Themes</t>
  </si>
  <si>
    <t xml:space="preserve">
A marketing technique used to define the approach subject, topic or idea (a theme) to be used as part of a marketing campaign.
    </t>
  </si>
  <si>
    <t>Marketing Campaign Variable Costs</t>
  </si>
  <si>
    <t xml:space="preserve">
The total variable costs of the campaign that are fully dependent upon the number of prospects. An example would be the cost of printed materials, postage, etc.
    </t>
  </si>
  <si>
    <t>Marketing Communication Plan</t>
  </si>
  <si>
    <t xml:space="preserve">
A market planning technique used to outline the strategy in which to marketing messages including items such as: market messages, target audiences, frequency, etc. are executed.
    </t>
  </si>
  <si>
    <t>Marketing Manager</t>
  </si>
  <si>
    <t xml:space="preserve">
The marketing manager is responsible for activities such as creating the marketing strategy, communications (of the strategy, for example), segmentation management, and marketing campaigns.
    </t>
  </si>
  <si>
    <t>Marketing Objective</t>
  </si>
  <si>
    <t xml:space="preserve">
This concept describes the objectives of the marketing campaign as defined by the company or the one chosen by the producer. Note that objectives can be shared by several campaigns or projects.
    </t>
  </si>
  <si>
    <t>Marketing Objective  Description</t>
  </si>
  <si>
    <t xml:space="preserve">
Free text describing the objective
    </t>
  </si>
  <si>
    <t>Marketing Objective  Fulfilled Indicator</t>
  </si>
  <si>
    <t xml:space="preserve">
Indicates whether the objective has been reached or not.
    </t>
  </si>
  <si>
    <t>Marketing Objective  Fulfillment Percentage</t>
  </si>
  <si>
    <t xml:space="preserve">
Fulfillment rate of the objective.
    </t>
  </si>
  <si>
    <t>Marketing Objective  Name</t>
  </si>
  <si>
    <t xml:space="preserve">
Official name of the objective
    </t>
  </si>
  <si>
    <t>Marketing Plan and Strategy</t>
  </si>
  <si>
    <t xml:space="preserve">
A statement (implicit or explicit) of how a brand or product line will achieve its objectives. The strategy provides decisions and direction regarding variables such as the segmentation of the market, identification of the target market, positioning, marketing mix elements, and expenditures. A marketing strategy is usually an integral part of a business strategy that provides broad direction to all functions.
    </t>
  </si>
  <si>
    <t>Marketing Specialist</t>
  </si>
  <si>
    <t xml:space="preserve">
Marketing specialist
    </t>
  </si>
  <si>
    <t>Marketing Support</t>
  </si>
  <si>
    <t xml:space="preserve">
The type of support/service provided to the channel role (i.e. mailing, basic advertising brochures, advertising in local newspapers and gifts).
    </t>
  </si>
  <si>
    <t>Marketplace Situational Analysis</t>
  </si>
  <si>
    <t xml:space="preserve">
The systematic collection and study of past and present data to identify trends, forces, and conditions with the potential to influence the performance of the business and the choice of appropriate strategies. The situation analysis is the foundation of the strategic planning process. The situation analysis includes an examination of both the internal factors (to identify strengths and weaknesses) and external factors (to identify opportunities and threats). It is often referred to by the acronym SWOT.
    </t>
  </si>
  <si>
    <t>Marketplace Trend Analysis</t>
  </si>
  <si>
    <t xml:space="preserve">
Analytical techniques such as time series analysis applied to insurance marketplace information to discern trends.
    </t>
  </si>
  <si>
    <t>MBA</t>
  </si>
  <si>
    <t xml:space="preserve">
Master of Business Administration (MBA)
    </t>
  </si>
  <si>
    <t>MBAA</t>
  </si>
  <si>
    <t xml:space="preserve">
Mortgage Bankers Association of America (MBAA)
    </t>
  </si>
  <si>
    <t>MCH</t>
  </si>
  <si>
    <t xml:space="preserve">
Mean Corpuscular Hemoglobin (MCH)
    </t>
  </si>
  <si>
    <t>MCHC</t>
  </si>
  <si>
    <t xml:space="preserve">
Mean Corpuscular Hemoglobin Concentration (MCHC)
    </t>
  </si>
  <si>
    <t>MCO</t>
  </si>
  <si>
    <t xml:space="preserve">
Managed Care Organization (MCO)
    </t>
  </si>
  <si>
    <t xml:space="preserve">
Doctor of Medicine (MD)
    </t>
  </si>
  <si>
    <t>Measurement  Unit Code</t>
  </si>
  <si>
    <t xml:space="preserve">
The code identifying the unit the measurement.
    </t>
  </si>
  <si>
    <t>Measurement  Value</t>
  </si>
  <si>
    <t xml:space="preserve">
The measured value expressed as a Decimal.
    </t>
  </si>
  <si>
    <t>MEC</t>
  </si>
  <si>
    <t xml:space="preserve">
Modified Endowment Contract (MEC)
    </t>
  </si>
  <si>
    <t>Medicaid Indicator</t>
  </si>
  <si>
    <t xml:space="preserve">
Indicates the person is covered by Medicaid or Medi-Cal, but not Medicare.
    </t>
  </si>
  <si>
    <t>Medical Assessment</t>
  </si>
  <si>
    <t xml:space="preserve">
A specific type of assessment activity around the medical condition of a person. This concept serves as a base concept for all medically related assessment activities.
    </t>
  </si>
  <si>
    <t>Medical Assessment  General Observation</t>
  </si>
  <si>
    <t xml:space="preserve">
General text related to observations made via a Medical Assessment; however, this is not the result of a medical assessment.
e.g: A skin test may not result in proof of a condition, such as skin cancer, but one may observe the discoloration of some skin.
    </t>
  </si>
  <si>
    <t>Medical Assessment  Utilized Medical Report</t>
  </si>
  <si>
    <t xml:space="preserve">
This represents a medical report utilized by a medical assessment.
    </t>
  </si>
  <si>
    <t>Medical Condition</t>
  </si>
  <si>
    <t xml:space="preserve">
The health state of a person, such as an injury, a disease or a disability. A medical condition can apply to the whole human body or to a specific body part. A medical condition may be identified as a result of an assessment activity and can require a medical treatment. 
e.g: Broken leg 
e.g: Deafness 
e.g: Physically disabled 
e.g: Visual impaired
    </t>
  </si>
  <si>
    <t>Medical Condition  Formal Name</t>
  </si>
  <si>
    <t xml:space="preserve">
The formal name that is recognized by the medical profession.
    </t>
  </si>
  <si>
    <t>Medical Condition  Frequency Code</t>
  </si>
  <si>
    <t xml:space="preserve">
The frequency of occurrence or re-occurrence of this medical condition. 
e.g: Sporadic
    </t>
  </si>
  <si>
    <t>Medical Condition  Icd10Type Code</t>
  </si>
  <si>
    <t xml:space="preserve">
This represents the medical condition utilizing the ICD-10 list (International Statistical Classification of Diseases, 10th edition). Definitions for the ICD-10 codes, if needed, can be obtained by contacting the World Health Organization (WHO) or the National Center for Health Statistics (NCHS).
    </t>
  </si>
  <si>
    <t>Medical Condition  Severity Code</t>
  </si>
  <si>
    <t xml:space="preserve">
The qualification of the condition of the subject based on the seriousness of the medical condition in terms of threatening the health the subject.
    </t>
  </si>
  <si>
    <t>Medical Equipment</t>
  </si>
  <si>
    <t xml:space="preserve">
This represents medical equipment (also known as armamentarium) designed to aid in the diagnosis, monitoring or treatment of medical conditions.
    </t>
  </si>
  <si>
    <t>Medical Equipment Specification</t>
  </si>
  <si>
    <t xml:space="preserve">
This represents the specification of the characteristics of medical equipment.
    </t>
  </si>
  <si>
    <t>Medical Examination</t>
  </si>
  <si>
    <t xml:space="preserve">
The medical examination of an applicant for insurance or a claimant by a qualified physician who acts on behalf of the insurer. At the time of purchasing life insurance, equity-linked life insurance or disability insurance, a medical examination is required. Normally answering a number of medical questions is sufficient. Not required is the medical examination in case of pension insurance, equity-tied pension insurance and immediate pension.
    </t>
  </si>
  <si>
    <t>Medical Examination  Providing Health Institution</t>
  </si>
  <si>
    <t xml:space="preserve">
This represents the health care institution that provided for a given medical examination.
    </t>
  </si>
  <si>
    <t>Medical Examination  Symptoms</t>
  </si>
  <si>
    <t xml:space="preserve">
Main complaints and/or symptoms
    </t>
  </si>
  <si>
    <t>Medical Examination  Type Code</t>
  </si>
  <si>
    <t xml:space="preserve">
This represents a type of medical examination.
    </t>
  </si>
  <si>
    <t>Medical Examiner</t>
  </si>
  <si>
    <t xml:space="preserve">
The physician who examines an applicant or claimant on behalf of the insurer and as an intermediary of the insurer.
    </t>
  </si>
  <si>
    <t>Medical Expense Type</t>
  </si>
  <si>
    <t xml:space="preserve">
A description of the source of the expense. Examples include: hospital, doctor, pharmacy, etc.
    </t>
  </si>
  <si>
    <t>Medical Expert</t>
  </si>
  <si>
    <t xml:space="preserve">
Person or organization that provides expert advice in assessing damages to someone's health. For example, assessing the level of invalidity of a person.
    </t>
  </si>
  <si>
    <t>Medical Facility</t>
  </si>
  <si>
    <t xml:space="preserve">
A medical facility is an entity where medical examinations and treatments are provided.
    </t>
  </si>
  <si>
    <t>Medical Primary Health Care</t>
  </si>
  <si>
    <t xml:space="preserve">
First contact and continuing health care, including basic or initial diagnosis and treatment, health supervision, management of chronic conditions, preventive care services, and appropriate referral.
    </t>
  </si>
  <si>
    <t>Medical Report</t>
  </si>
  <si>
    <t xml:space="preserve">
This concept represents the medical report or medical form (for a claim or an underwriting request) used as part of the medical assessment process.
    </t>
  </si>
  <si>
    <t>Medical Secondary Health Care</t>
  </si>
  <si>
    <t xml:space="preserve">
Specialized ambulatory care and common place hospital care (outpatient care and inpatient care services). Access is often via referral from primary health care services. Does not include highly specialized, technical inpatient medical services (which is tertiary health care).
    </t>
  </si>
  <si>
    <t>Medical Test</t>
  </si>
  <si>
    <t xml:space="preserve">
A specific medical procedure conducted as part of a Medical Examination.
e.g: Oxygen saturation
e.g: Pregnancy test
e.g: Blood Pressure
e.g: Height and Weight
e.g: Body Temp
    </t>
  </si>
  <si>
    <t>Medical Test  Type Code</t>
  </si>
  <si>
    <t xml:space="preserve">
This represents a type of medical test.
    </t>
  </si>
  <si>
    <t>Medical Transportation</t>
  </si>
  <si>
    <t xml:space="preserve">
Transportation to or from a health care facility where medical treatment is received. e.g: The transportation of Mary Doe by ambulance from the crossing where she had her car accident to the nearest hospital.
    </t>
  </si>
  <si>
    <t>Medical Treatment</t>
  </si>
  <si>
    <t xml:space="preserve">
This represents an activity that is concerned with providing medical treatment. This includes, but is not limited to the following: doctor's visits, medical services provided by specialists, intensive care units, hospital facility services, rehabilitation, hospice, etc.
    </t>
  </si>
  <si>
    <t>Medical Treatment  Duration Type Code</t>
  </si>
  <si>
    <t xml:space="preserve">
States whether the treatment is for life or limited in time
    </t>
  </si>
  <si>
    <t>Medical Treatment  Initial Treatment Code</t>
  </si>
  <si>
    <t xml:space="preserve">
The type of treatment occurring initially.
    </t>
  </si>
  <si>
    <t>Medical Treatment  Intensity Code</t>
  </si>
  <si>
    <t xml:space="preserve">
The intensity of the applied medical treatment.
    </t>
  </si>
  <si>
    <t>Medical Treatment  Period</t>
  </si>
  <si>
    <t xml:space="preserve">
States the period during which the treatment was used. This attribute is filled only if the treatmentDurationType attribute is set as "limited".
    </t>
  </si>
  <si>
    <t>Medical Treatment  Type Code</t>
  </si>
  <si>
    <t xml:space="preserve">
The type of applicable medical treatment.
    </t>
  </si>
  <si>
    <t>Medical Unit Booking</t>
  </si>
  <si>
    <t xml:space="preserve">
A concept containing data with respect to booking places for customers on medical units.
    </t>
  </si>
  <si>
    <t>Medical Unit Booking  Booking Comment</t>
  </si>
  <si>
    <t xml:space="preserve">
General text comments involving the medical unit booking activity.
    </t>
  </si>
  <si>
    <t>Medical Unit Booking  Modification Date Time</t>
  </si>
  <si>
    <t xml:space="preserve">
The date (and time) on which a modification to the medical unit booking occurred.
    </t>
  </si>
  <si>
    <t>Medical Unit Booking  Notification Booking Date Time</t>
  </si>
  <si>
    <t xml:space="preserve">
The date (and time) on which notification of booking to a medical unit occurred.
    </t>
  </si>
  <si>
    <t>Medical Unit Booking  Proposed Admittance Date Time</t>
  </si>
  <si>
    <t xml:space="preserve">
The date (and time) proposed for a person's admittance to a medical unit.
    </t>
  </si>
  <si>
    <t>Medically Necessary Treatment</t>
  </si>
  <si>
    <t xml:space="preserve">
A treatment which is appropriate and necessary in treating a patient and which could adversely affect the patient's condition if it were omitted.
    </t>
  </si>
  <si>
    <t>Membership Registration</t>
  </si>
  <si>
    <t xml:space="preserve">
This concept is a generalizing concept describing how a party is a member of a society, club, etc.
e.g. AARP, Rotary Club, Society of CPCU, etc.
    </t>
  </si>
  <si>
    <t>Membership Registration  Registrant</t>
  </si>
  <si>
    <t xml:space="preserve">
This represents the registrant (registered party) of a membership registration. The party is therefore a member of the membership.
    </t>
  </si>
  <si>
    <t>Messaging Contact</t>
  </si>
  <si>
    <t xml:space="preserve">
&lt;html&gt;
  &lt;head&gt;
		&lt;style&gt;
			p {padding:0px; margin:0px;}
		&lt;/style&gt;
	&lt;/head&gt;
  &lt;body&gt;
    &lt;p&gt;
This concept represents a messaging contact such as OCS, &lt;span&gt;&lt;font face="Calibri,sans-serif" style="font-size:11.0pt"&gt;Skype™&lt;/font&gt;&lt;/span&gt;, Twitter, etc.
    &lt;/p&gt;
  &lt;/body&gt;
&lt;/html&gt;
    </t>
  </si>
  <si>
    <t>Messaging Contact  Uniform Resource Locator</t>
  </si>
  <si>
    <t xml:space="preserve">
This represents the uniform resource locator "address" for a messaging contact.
    </t>
  </si>
  <si>
    <t>MGA</t>
  </si>
  <si>
    <t xml:space="preserve">
Managing General Agent (MGA)
    </t>
  </si>
  <si>
    <t>MGAA</t>
  </si>
  <si>
    <t xml:space="preserve">
Managing General Agents Association (MGAA)
    </t>
  </si>
  <si>
    <t>MIB</t>
  </si>
  <si>
    <t xml:space="preserve">
Medical Information Bureau (MIB)
    </t>
  </si>
  <si>
    <t>Military Registration</t>
  </si>
  <si>
    <t xml:space="preserve">
This concept defines the characteristics of a military registration of a person.
    </t>
  </si>
  <si>
    <t>Military Service</t>
  </si>
  <si>
    <t xml:space="preserve">
This concept provides details about the military service of a person.
    </t>
  </si>
  <si>
    <t>Military Service  Branch</t>
  </si>
  <si>
    <t xml:space="preserve">
This represents the military branch in which the person served (e.g. army, navy, etc.).
    </t>
  </si>
  <si>
    <t>Military Service  Rank</t>
  </si>
  <si>
    <t xml:space="preserve">
This represents the military rank applicable to the person's military service (e.g. private, corporal, etc.).
    </t>
  </si>
  <si>
    <t>Minimum And Deposit Premium</t>
  </si>
  <si>
    <t xml:space="preserve">
The premium payable under the terms of a contract which is the minimum premium payable, and at the same time the deposit premium paid at the start of the contract period.
    </t>
  </si>
  <si>
    <t>MISMO</t>
  </si>
  <si>
    <t xml:space="preserve">
Mortgage Industry Standards Maintenance Organization (MISMO)
    </t>
  </si>
  <si>
    <t>MMSI</t>
  </si>
  <si>
    <t xml:space="preserve">
Maritime Mobile Service Identity (MMSI)
    </t>
  </si>
  <si>
    <t>Mmsi Number</t>
  </si>
  <si>
    <t xml:space="preserve">
A telephone-type number known as a Maritime Mobile Service Identity (MMSI).  The MMSI is a nine digit number identifying a VHF set or group of sets. The left hand digits of MMSI indicate the country and type of station.
    </t>
  </si>
  <si>
    <t>Mobile Home</t>
  </si>
  <si>
    <t xml:space="preserve">
This concept represents a mobile home.
    </t>
  </si>
  <si>
    <t>Mobile Home  Cooking Location Code</t>
  </si>
  <si>
    <t xml:space="preserve">
A code identifying where the cooking facilities are located in the mobile home or trailer.
    </t>
  </si>
  <si>
    <t>Mobile Home  Is Based On Specification</t>
  </si>
  <si>
    <t xml:space="preserve">
This represents a manufactured item specification that is the basis for a mobile home.
    </t>
  </si>
  <si>
    <t>Mobile Home  Manufactured Date Time</t>
  </si>
  <si>
    <t>Mobile Home  Manufacturer Name</t>
  </si>
  <si>
    <t xml:space="preserve">
Identifies the manufacturer of the machinery.
    </t>
  </si>
  <si>
    <t>Mobile Home  Permanent Connection To Electricity Indicator</t>
  </si>
  <si>
    <t xml:space="preserve">
Indicates whether the mobile home has a permanent connection to electricity.
    </t>
  </si>
  <si>
    <t>Mobile Home  Permanent Connection To Sewer Indicator</t>
  </si>
  <si>
    <t xml:space="preserve">
Indicates whether the mobile home has a permanent connection to sewer.
    </t>
  </si>
  <si>
    <t>Mobile Home  Permanent Connection To Water Indicator</t>
  </si>
  <si>
    <t xml:space="preserve">
Indicates whether the mobile home has a permanent connection to water.
    </t>
  </si>
  <si>
    <t>Mobile Home  Purchased New Indicator</t>
  </si>
  <si>
    <t xml:space="preserve">
Indicates if the mobile home was purchased new.
    </t>
  </si>
  <si>
    <t>Mobile Home  Skirted Indicator</t>
  </si>
  <si>
    <t xml:space="preserve">
Indicates if the mobile home is skirted.
    </t>
  </si>
  <si>
    <t>Mobile Home  Tie Down Extent Code</t>
  </si>
  <si>
    <t xml:space="preserve">
A code that identifies how the mobile home/trailer is secured.
    </t>
  </si>
  <si>
    <t>Mobile Home  Type Code</t>
  </si>
  <si>
    <t xml:space="preserve">
This represents the type of mobile home (e.g. single, double-wide, etc.).
    </t>
  </si>
  <si>
    <t>Mobility Profile</t>
  </si>
  <si>
    <t xml:space="preserve">
Communication profile that specifies the preferences for adaptation of the communication to motoric capabilities. 
e.g: A physically disabled person prefers to receive a house call instead of going to an agent's office.
    </t>
  </si>
  <si>
    <t>Mobility Profile  Button And Icon Size Code</t>
  </si>
  <si>
    <t xml:space="preserve">
Selection of various button and icon sizes to allow for a different sizing of the areas on the screen that are selection-sensitive. 
e.g: default 
e.g: large 
e.g: larger 
e.g: largest
    </t>
  </si>
  <si>
    <t>Mobility Profile  House Visit Indicator</t>
  </si>
  <si>
    <t xml:space="preserve">
Indicates that the person prefers to be visited at home.
    </t>
  </si>
  <si>
    <t>Mobility Profile  Keyboard Input Indicator</t>
  </si>
  <si>
    <t xml:space="preserve">
Preference that allows for text input, item selection, menu selection, icon selection, and any other interaction to be supported by keyboard input alone and not require the use of a pointing device such as a mouse. 
e.g: no 
e.g: yes
    </t>
  </si>
  <si>
    <t>Mobility Profile  Time Out Code</t>
  </si>
  <si>
    <t xml:space="preserve">
Allows for additional time beyond the normal to complete form input and submission.  This allows individuals with less mobility extra time if necessary.
e.g: default 
e.g: long 
e.g: longer 
e.g: longest
    </t>
  </si>
  <si>
    <t>Mobility Profile  Time Out Duration</t>
  </si>
  <si>
    <t xml:space="preserve">
Specifies - if necessary - an amount of additional time someone with less mobility requires to complete form input and submission.
    </t>
  </si>
  <si>
    <t>Modification Benefit</t>
  </si>
  <si>
    <t xml:space="preserve">
This is a benefit that modifies the terms of the component to which it is associated. It is most commonly associated to a coverage.  For instance, a modification benefit for a life insurance coverage may be an accidental death benefit.   In the event of a death that is caused by an accident, the face amount to be paid may be higher than if the death was by natural causes, if this modification benefit were elected.
    </t>
  </si>
  <si>
    <t>Modification Benefit  Cash Value Provision Code</t>
  </si>
  <si>
    <t xml:space="preserve">
This represents the way in which cash value (if any) is applied if the coverage or policy lapses.
    </t>
  </si>
  <si>
    <t>Modification Benefit Specification  Type Code</t>
  </si>
  <si>
    <t xml:space="preserve">
This represents a modification benefit.
    </t>
  </si>
  <si>
    <t>Modified Endowment Contract</t>
  </si>
  <si>
    <t xml:space="preserve">
Status of Universal Life Insurance contracts which fall under the Technical and Miscellaneous Revenue Act of 1988 (TAMRA). The contracts were entered into or changed, on or after June 21, 1988 and have had large premium payments within the first seven years that exceed the established guidelines within TAMRA, which result in tax implications for withdrawals and other early distributions.
    </t>
  </si>
  <si>
    <t>Modified Endowment Contract 7-Pay Period</t>
  </si>
  <si>
    <t xml:space="preserve">
The 7-year time period in which a Universal Life Insurance contract is subject to being monitored to identify if it needs to move into Modified Endowment Contract status as defined in the Technical and Miscellaneous Revenue Act of 1988 (TAMRA). It is calculated at issue and as a result of any material change (as defined by TAMRA).
    </t>
  </si>
  <si>
    <t>Modified Endowment Contract 7-Pay Premium</t>
  </si>
  <si>
    <t xml:space="preserve">
The maximum premium that can be paid into a Universal Life Insurance contract during each of the first seven years, as calculated by the 7-Pay Test. If exceeded, based on the Technical and Miscellaneous Revenue Act of 1988 (TAMRA), the contract is classified as a Modified Endowment Contract (MEC). This only applies to contracts that were entered into or changed, on or after June 21, 1988.
    </t>
  </si>
  <si>
    <t>Modified Endowment Contract 7-Pay Test</t>
  </si>
  <si>
    <t xml:space="preserve">
A test applied to Universal Life Insurance contracts entered into or changed on or after June 21, 1988 against the Technical and Miscellaneous Revenue Act of 1988 (TAMRA). The test is applied at issue and as a result of a material change (as defined by TAMRA). It determines the amount of premium (7-Pay Premium) that will put a contract into Modified Endowment Contract (MEC) status and also determines the period of time (7-Pay Period) the contract will need to be monitored.
    </t>
  </si>
  <si>
    <t>Money Order</t>
  </si>
  <si>
    <t xml:space="preserve">
A money order is a payment order for a pre-specified amount of money. Because it is required that the funds be prepaid for the amount shown on it, it is a more trusted method of payment than a cheque.
    </t>
  </si>
  <si>
    <t>Money Order Method</t>
  </si>
  <si>
    <t>Money Order Method  Utilized Money Order</t>
  </si>
  <si>
    <t xml:space="preserve">
This is the money order being utilized for the method of payment.
    </t>
  </si>
  <si>
    <t>Moral Hazard</t>
  </si>
  <si>
    <t xml:space="preserve">
The effect or risk from any personal characteristic, living habit or financial responsibility of an applicant or insured that may have an impact on the general insurability of the individual.
    </t>
  </si>
  <si>
    <t>Morbidity Rate</t>
  </si>
  <si>
    <t xml:space="preserve">
The rate at which sickness and injury occur within a defined group of people. Insurers base health insurance premiums in part on the morbidity rate for a proposed insured?s age group.
    </t>
  </si>
  <si>
    <t>Mortality and Expense Fees (M&amp;E)</t>
  </si>
  <si>
    <t xml:space="preserve">
In an investment product, a fee that covers such annuity contract guarantees such as death benefits.
    </t>
  </si>
  <si>
    <t>Mortality Assumption</t>
  </si>
  <si>
    <t xml:space="preserve">
A statistical projection of future illness, sickness, and disease.
    </t>
  </si>
  <si>
    <t>Mortality Rate</t>
  </si>
  <si>
    <t xml:space="preserve">
The rate at which death occurs among a defined group of people of a specified age and sometimes of a specified gender. Insurers base the premiums for life insurance in part on the mortality rate for a proposed insured?s age group.
    </t>
  </si>
  <si>
    <t>Motor Home</t>
  </si>
  <si>
    <t xml:space="preserve">
A motor home is  a motor vehicle equipped with living space and amenities found in a home.
    </t>
  </si>
  <si>
    <t>Motor Home Specification</t>
  </si>
  <si>
    <t xml:space="preserve">
This represents the specification of the characteristics of a motor home.
    </t>
  </si>
  <si>
    <t>Motorcycle</t>
  </si>
  <si>
    <t xml:space="preserve">
A motorcycle (also called a motorbike, bike, motor cycle) is a two or three wheeled motor vehicle. Motorcycles vary considerably depending on the task they are designed for, such as long distance travel, navigating congested urban traffic, cruising, sport and racing, or off-road conditions.
    </t>
  </si>
  <si>
    <t>Motorcycle Specification</t>
  </si>
  <si>
    <t xml:space="preserve">
This represents the specification of the characteristics of a motorcycle.
    </t>
  </si>
  <si>
    <t>Motorcycle Specification  Type Code</t>
  </si>
  <si>
    <t xml:space="preserve">
This represents a type of motorcycle.
    </t>
  </si>
  <si>
    <t xml:space="preserve">
Mass Spectrometer (MS)
    </t>
  </si>
  <si>
    <t>MSN</t>
  </si>
  <si>
    <t xml:space="preserve">
Manufacturer's Serial Number (MSN)
    </t>
  </si>
  <si>
    <t>Multiuse Building</t>
  </si>
  <si>
    <t xml:space="preserve">
A building that can be any combination of uses. Shops and dwelling are shown for illustrative purposes, but any number of Building Entities can be connected.
    </t>
  </si>
  <si>
    <t>Municipality</t>
  </si>
  <si>
    <t xml:space="preserve">
This concept represents a geographic place recognized by a governmental body, not an administrative subdivision akin to a party/organization. The term "municipality" is a generic term, and can describe any geographic place other than a region, country or first level of country subdivision (refer to the classes [GeographicRegion], [Country] and [CountrySubdivision]).
    </t>
  </si>
  <si>
    <t>Municipality  Administrative Sub Division Code</t>
  </si>
  <si>
    <t xml:space="preserve">
A code indicating the nature of the city with regards to government administrative functions, if applicable.
    </t>
  </si>
  <si>
    <t>Municipality  Assigned Code</t>
  </si>
  <si>
    <t xml:space="preserve">
A code utilized as "my" code for a municipality identification.
See also "Usage Note" text.
    </t>
  </si>
  <si>
    <t>Municipality  Type Code</t>
  </si>
  <si>
    <t xml:space="preserve">
A code indicating a type of municipality (e.g. City, Town, etc.).
    </t>
  </si>
  <si>
    <t>Mutual Fund Company</t>
  </si>
  <si>
    <t xml:space="preserve">
An investment company that stands ready to buy back its shares at their current net asset value, which is the total market value of the fund's investment portfolio divided by the number of shares outstanding. Most mutual funds continuously offer new shares to investors.
    </t>
  </si>
  <si>
    <t>Mutual Insurance Company</t>
  </si>
  <si>
    <t xml:space="preserve">
A private organization managed by employees and employers, in equal number. These organizations can be inter-professional, professional or corporate, with the ability to act at the national or local level. They offer both group and individual coverage to former employees or entitled beneficiaries.
    </t>
  </si>
  <si>
    <t>MVA</t>
  </si>
  <si>
    <t xml:space="preserve">
Market Value Adjustment (MVA)
    </t>
  </si>
  <si>
    <t>MVC</t>
  </si>
  <si>
    <t xml:space="preserve">
Mean Corpuscular Volume (MCV)
    </t>
  </si>
  <si>
    <t>N-CPAP</t>
  </si>
  <si>
    <t xml:space="preserve">
Nasal Continuous Airway Pressure (N-CPAP)
    </t>
  </si>
  <si>
    <t>NAAIA</t>
  </si>
  <si>
    <t xml:space="preserve">
National African American Insurance Association (NAAIA)
    </t>
  </si>
  <si>
    <t>NAF</t>
  </si>
  <si>
    <t xml:space="preserve">
Nomenclature des Activités Françaises (NAF)
    </t>
  </si>
  <si>
    <t>NAFA</t>
  </si>
  <si>
    <t xml:space="preserve">
National Association of Fixed Annuities (NAFA)
    </t>
  </si>
  <si>
    <t>NAIC</t>
  </si>
  <si>
    <t xml:space="preserve">
National Association of Insurance Commissioners (NAIC)
    </t>
  </si>
  <si>
    <t>NAICS</t>
  </si>
  <si>
    <t xml:space="preserve">
North American Industry Classification System (NAICS)
    </t>
  </si>
  <si>
    <t>NAII</t>
  </si>
  <si>
    <t xml:space="preserve">
National Association of Independent Insurers (NAII)
    </t>
  </si>
  <si>
    <t>NAILBA</t>
  </si>
  <si>
    <t xml:space="preserve">
National Association of Independent Life Brokerage Agencies (NAILBA)
    </t>
  </si>
  <si>
    <t>Named Additional Insured</t>
  </si>
  <si>
    <t xml:space="preserve">
A person or organization, or unit thereof, that is named as additional insured in the insurance contract. The organization is covered in the insurance contract because of its relationship with the organization that is the main insured. A subcontractor of a contractor can be named as additional insured in the contractor's contract, in which case he will be covered when performing activities for which he was contracted by the insured contractor. He is not insured when performing activities for another contractor. A subsidiary of a company can be named as additional insured in the parent company's contract, in which case its activities will be covered due to the nature of the parent company's liability in the activities of the subsidiary.
    </t>
  </si>
  <si>
    <t>Named Driver</t>
  </si>
  <si>
    <t xml:space="preserve">
A person specified as a driver in an agreement (e.g. the person's name appears in the policy and/or policy declarations as a driver, and not as an excluded driver).
e.g: William Shakespeare, as the named driver in an automobile insurance policy.
    </t>
  </si>
  <si>
    <t>Named Driver  Declared Accident Count</t>
  </si>
  <si>
    <t xml:space="preserve">
The number of accidents which a person has declared to the insurer.
    </t>
  </si>
  <si>
    <t>Named Driver  Declared Claim Count</t>
  </si>
  <si>
    <t xml:space="preserve">
The number of (auto) claims declared by the person named as driver.
    </t>
  </si>
  <si>
    <t>Named Driver  Declared Driving Violation Count</t>
  </si>
  <si>
    <t xml:space="preserve">
The number of driving convictions which a person has declared to the insurer, for example, reckless driving, speeding, improper lane change.
    </t>
  </si>
  <si>
    <t>Named Traveler</t>
  </si>
  <si>
    <t xml:space="preserve">
A person named as traveler in a travel insurance contract. Being named as traveler makes the person an insured person in the travel insurance contract.
    </t>
  </si>
  <si>
    <t>NAMIC</t>
  </si>
  <si>
    <t xml:space="preserve">
National Association of Mutual Insurance Companies (NAMIC)
    </t>
  </si>
  <si>
    <t>NANP</t>
  </si>
  <si>
    <t xml:space="preserve">
North American Numbering Plan (NANP)
    </t>
  </si>
  <si>
    <t>NAPSLO</t>
  </si>
  <si>
    <t xml:space="preserve">
National Association of Professional Surplus Lines Offices (NAPSLO)
    </t>
  </si>
  <si>
    <t>NASBP</t>
  </si>
  <si>
    <t xml:space="preserve">
National Association of Surety Bond Producers (NASBP)
    </t>
  </si>
  <si>
    <t>NASP</t>
  </si>
  <si>
    <t xml:space="preserve">
National Association of Safety Professionals (NASP)
    </t>
  </si>
  <si>
    <t>NATA</t>
  </si>
  <si>
    <t xml:space="preserve">
National Air Transportation Association (NATA)
    </t>
  </si>
  <si>
    <t>Nationality</t>
  </si>
  <si>
    <t xml:space="preserve">
Nationality is the legal relationship between a person and a nation state.
    </t>
  </si>
  <si>
    <t>Nationality  Place</t>
  </si>
  <si>
    <t xml:space="preserve">
This represents a place of nationality (e.g. country).
    </t>
  </si>
  <si>
    <t>Natural Event</t>
  </si>
  <si>
    <t xml:space="preserve">
An event that occurs naturally (hurricane, tornado, etc). These are not the responsibility of an object (vehicle) or individual (person).
    </t>
  </si>
  <si>
    <t>Natural Fire</t>
  </si>
  <si>
    <t xml:space="preserve">
A natural fire is a fire event caused by nature, such as one caused by lightning. Natural fires are known by various names including: brush fire, forest fire, and wildfire.
    </t>
  </si>
  <si>
    <t>NAVA</t>
  </si>
  <si>
    <t xml:space="preserve">
National Association for Variable Annuities (NAVA)
    </t>
  </si>
  <si>
    <t>NCB</t>
  </si>
  <si>
    <t xml:space="preserve">
No Claims Bonus (NCB)
    </t>
  </si>
  <si>
    <t>NCCI</t>
  </si>
  <si>
    <t xml:space="preserve">
National Council on Compensation Insurance (NCCI)
    </t>
  </si>
  <si>
    <t>NCD</t>
  </si>
  <si>
    <t xml:space="preserve">
No Claims Discount (NCD)
    </t>
  </si>
  <si>
    <t>NCHS</t>
  </si>
  <si>
    <t xml:space="preserve">
National Center for Health Statistics (NCHS)
    </t>
  </si>
  <si>
    <t>NCIGF</t>
  </si>
  <si>
    <t xml:space="preserve">
National Conference of Insurance Guaranty Funds (NCIGF)
    </t>
  </si>
  <si>
    <t>NCIS</t>
  </si>
  <si>
    <t xml:space="preserve">
National Crop Insurance Services (NCIS)
    </t>
  </si>
  <si>
    <t>NCOIL</t>
  </si>
  <si>
    <t xml:space="preserve">
National Conference of Insurance Legislators (NCOIL)
    </t>
  </si>
  <si>
    <t>NDR</t>
  </si>
  <si>
    <t xml:space="preserve">
Naming and Design Rules (NDR)
    </t>
  </si>
  <si>
    <t>Nearest Zone Code</t>
  </si>
  <si>
    <t xml:space="preserve">
An industry code specifying the location from which the vehicle is operated.
    </t>
  </si>
  <si>
    <t>Needs Scenario</t>
  </si>
  <si>
    <t xml:space="preserve">
A scenario is used by the selling function of the insurance company to demonstrate to the customer which risks he is running. It identifies certain needs (risks) that could be covered by an insurance contract. An example in P&amp;C would be to identify the need for flood insurance or earthquake coverage for someone residing in a floodplain or fault. In Life an example would be the need to fund post-secondary education in the event of the death of the primary income provider.
    </t>
  </si>
  <si>
    <t>Neighborhood Watch</t>
  </si>
  <si>
    <t xml:space="preserve">
Whether the building is part of a Neighborhood Watch scheme A neighborhood surveillance program or group in which residents keep watch over one another's houses, patrol the streets, etc., in an attempt to prevent crime.
    </t>
  </si>
  <si>
    <t>Net Amount At Risk</t>
  </si>
  <si>
    <t xml:space="preserve">
In life insurance, the difference between the face value of a life insurance contract, and its cash value.
    </t>
  </si>
  <si>
    <t>Net Income Amount Previous Year</t>
  </si>
  <si>
    <t xml:space="preserve">
Total amount of net income for the previous year.
    </t>
  </si>
  <si>
    <t>Net Premium</t>
  </si>
  <si>
    <t xml:space="preserve">
The gross premium minus expenses, taxes, and fees.
    </t>
  </si>
  <si>
    <t>Net Present Value</t>
  </si>
  <si>
    <t xml:space="preserve">
Net Present Value (NPV) is the process of calculating the value of an investment by adding the present value of expected future cash flows to the initial cost of the investment; the difference between the cost of an investment and the discounted present value of all future earnings from that investment. This calculation is used to determine the NPV of Marketing Campaigns.
    </t>
  </si>
  <si>
    <t>Net Worth</t>
  </si>
  <si>
    <t xml:space="preserve">
A point in time assessment of the financial worth (wealth) of a person, organization, or market segment as derived from subtracting the total value of liabilities from the total value of assets. 
e.g: Net equity of Delta Paper Bag Company. 
e.g: Personal wealth of Byron Wendell Beaumont III.
    </t>
  </si>
  <si>
    <t>Net Worth  Liquidity Code</t>
  </si>
  <si>
    <t xml:space="preserve">
Identifies whether the net worth of a party consists of fixed assets such as real estate, or consists of liquid assets such as shares and bonds. 
e.g: fixed assets 
e.g: liquid assets
    </t>
  </si>
  <si>
    <t>Network</t>
  </si>
  <si>
    <t xml:space="preserve">
A grouping of individuals, organizations and agencies organized on a non hierarchical basis around common issues or concerns, which are pursued pro-actively and systematically, based on commitment and trust. Depending on the type of network, its structure and its membership rules may or may not be defined by the Insurance company. See also Preferred provider and Intermediary, network. Example: Acme Insurance Company's network of preferred garages. Beta Insurance Company's network of preferred physicians. Previously organized in single-handed practices, physicians now formed networks to provide continuous round-the-clock care to patients under the new reformed primary health care system.
    </t>
  </si>
  <si>
    <t>Network Address</t>
  </si>
  <si>
    <t xml:space="preserve">
This concept represents a means of identifying and locating a resource or device on a type of network, such as a telephone network or the internet.
    </t>
  </si>
  <si>
    <t>Network Address  Identifier</t>
  </si>
  <si>
    <t xml:space="preserve">
A single, formal string representation of the address for the resource.  On a given network type, this identifier provides enough information to be able to locate the associated address point.  For example, on a telephone network, this is the string commonly thought of as the "Phone Number."
    </t>
  </si>
  <si>
    <t>NFIP</t>
  </si>
  <si>
    <t xml:space="preserve">
National Flood Insurance Program (NFIP)
    </t>
  </si>
  <si>
    <t>NIBA</t>
  </si>
  <si>
    <t xml:space="preserve">
National Insurance Brokers Association (NIBA)
    </t>
  </si>
  <si>
    <t>NIPR</t>
  </si>
  <si>
    <t xml:space="preserve">
National Insurance Producer Registry (NIPR)
    </t>
  </si>
  <si>
    <t>NLADA</t>
  </si>
  <si>
    <t xml:space="preserve">
National Legal Aid &amp; Defender Association (NLADA)
    </t>
  </si>
  <si>
    <t>No-Claims Bonus</t>
  </si>
  <si>
    <t xml:space="preserve">
Information about premium pricing mechanism based upon claims history, normally being the number of years without claims. Also known as No Claims Bonus (NCB) or No Claims Discount (NCD).
    </t>
  </si>
  <si>
    <t>No-Claims Discount Period</t>
  </si>
  <si>
    <t xml:space="preserve">
The number of years (or other period) prior to the contract issue date during which the contractholder has not made a claim on any insurer for this type of contract or coverage. A premium discount is often given if the period is sufficiently long.
    </t>
  </si>
  <si>
    <t>Non Proportional Facultative Agreement</t>
  </si>
  <si>
    <t xml:space="preserve">
Facultative written to protect the ceding company from all or part of claims in excess of a specified amount retained (priority).
    </t>
  </si>
  <si>
    <t>Non Proportional Treaty Agreement</t>
  </si>
  <si>
    <t xml:space="preserve">
In non-proportional treaty reinsurance, the reinsurer's portion of the risk does not bear a fixed relationship to that of the ceding company. The reinsurer is obligated only after the ceding company's loss payments exceed a predetermined amount, after which the reinsurer is obligated to pay a share or the entirety of subsequent losses. In non-proportional reinsurance, the reinsurer's share of loss is not proportional to the share of original premiums. Within the category of non-proportional treaty reinsurance are the sub-categories of Excess of Loss, Catastrophe, and Stop Loss reinsurance.
    </t>
  </si>
  <si>
    <t>Non-Cancellable and Guaranteed Renewable Contract</t>
  </si>
  <si>
    <t xml:space="preserve">
An individual health insurance contract, which stipulates that, until the insured reaches a specified age (usually age 65), the insurer will not cancel the coverage, increase the premiums, or change the contract provisions as long as the premiums are paid when due.
    </t>
  </si>
  <si>
    <t>Non-Forfeiture Benefit</t>
  </si>
  <si>
    <t xml:space="preserve">
Provision that the equity of an insured in a life insurance contract cannot be forfeited. There are four benefits a contractholder can select from under the option: cash surrender value, paid-up insurance value, loan value, and the extended term insurance value.
    </t>
  </si>
  <si>
    <t>Non-Owned Vehicle Group</t>
  </si>
  <si>
    <t xml:space="preserve">
Indicates the category of covered persons to which Non Owned coverage pertains. For example: Employees, volunteers, partners, etc.
    </t>
  </si>
  <si>
    <t>Non-Renew</t>
  </si>
  <si>
    <t xml:space="preserve">
A decision or notification to discontinue coverage at the expiration date of the current contract.
    </t>
  </si>
  <si>
    <t>Non-Scheduled Indemnity Payment</t>
  </si>
  <si>
    <t xml:space="preserve">
Payments for a specific party on a workers compensation claim where the payment is not associated with a jurisdiction's indemnity payment schedule.
    </t>
  </si>
  <si>
    <t>Non-Standard Conditions</t>
  </si>
  <si>
    <t xml:space="preserve">
An indication that conditions other than standard conditions apply. An example in workers compensation is "excludes medical."
    </t>
  </si>
  <si>
    <t>Nonqualified Contract</t>
  </si>
  <si>
    <t xml:space="preserve">
An insurance plan that is not qualified under Internal Revenue Service rules to receive tax deductions for employer contributions to fund the plan.
    </t>
  </si>
  <si>
    <t>Notary</t>
  </si>
  <si>
    <t xml:space="preserve">
This concept states one's role as notary.
    </t>
  </si>
  <si>
    <t>NPV</t>
  </si>
  <si>
    <t xml:space="preserve">
Net Present Value (NPV)
    </t>
  </si>
  <si>
    <t>OASIS</t>
  </si>
  <si>
    <t xml:space="preserve">
Organization for the Advancement of Structured Information Standards (OASIS)
    </t>
  </si>
  <si>
    <t>OB/GYN</t>
  </si>
  <si>
    <t xml:space="preserve">
Obstetrics and Gynecology (OB/GYN)
    </t>
  </si>
  <si>
    <t>Object Of Insurance</t>
  </si>
  <si>
    <t xml:space="preserve">
In boiler and machinery insurance, the name of the vessel insured.
    </t>
  </si>
  <si>
    <t>Obligatory Facultative Treaty Agreement</t>
  </si>
  <si>
    <t xml:space="preserve">
Obligatory facultative treaty is a type of semi-automatic proportional treaty under which it is obligatory for the cedent to cede each risk within defined terms, whereas the reinsurer enjoys the discretion to decide whether or not to accept the cession, and if so for what amount. This is thus the reverse of the Facultative Obligatory Treaty (also known as Open cover treaty).
    </t>
  </si>
  <si>
    <t>Obligee</t>
  </si>
  <si>
    <t xml:space="preserve">
The "obligee" is the party for whom the guarantee in a surety bond agreement is being provided.
1.  a party in whose favor an obligation, contract, or bond is created; creditor
2.  a party who receives a bond
The party (e.g. person or organization) for whom or which a surety guarantees the performance of the principal's obligations.
    </t>
  </si>
  <si>
    <t>Occupancy</t>
  </si>
  <si>
    <t xml:space="preserve">
This concept represents the occupancy or unoccupancy of a building or some portion of a building.
    </t>
  </si>
  <si>
    <t>Occupancy  Actual Usage Code</t>
  </si>
  <si>
    <t xml:space="preserve">
This represents the actual usage of the occupied area independent of the intended usage or any official zoning registration.
    </t>
  </si>
  <si>
    <t>Occupancy  Annual Unoccupancy Period</t>
  </si>
  <si>
    <t xml:space="preserve">
This represents the period during which the property is unoccupied each year.
    </t>
  </si>
  <si>
    <t>Occupancy  Habitable Indicator</t>
  </si>
  <si>
    <t xml:space="preserve">
This indicates whether the structure (or some portion/entity within) is habitable or not.
    </t>
  </si>
  <si>
    <t>Occupancy  Occupied Area</t>
  </si>
  <si>
    <t xml:space="preserve">
This represents the dimension of the occupied area (e.g. 1000 square feet, 20 square meters, etc.).
    </t>
  </si>
  <si>
    <t>Occupancy  Percentage</t>
  </si>
  <si>
    <t xml:space="preserve">
This indicates the percentage of the building or building entity to which the occupancy applies.
    </t>
  </si>
  <si>
    <t>Occupancy  Tenancy Arrangement Type Code</t>
  </si>
  <si>
    <t xml:space="preserve">
This represents the arrangement (if any) involving the tenancy of the structure or some portion within (e.g. let or leased, rented, etc.).
    </t>
  </si>
  <si>
    <t>Occupancy  Tenancy Code</t>
  </si>
  <si>
    <t xml:space="preserve">
This represents the type of tenant occupying the structure or some portion within.
    </t>
  </si>
  <si>
    <t>Occupancy  Type Code</t>
  </si>
  <si>
    <t xml:space="preserve">
This represents the type of occupancy of the structure or some portion within (e.g. the manner in which the structure is inhabited: occupied, unoccupied, vacant, etc.).
    </t>
  </si>
  <si>
    <t>Occupancy  Utilization Type Code</t>
  </si>
  <si>
    <t xml:space="preserve">
This represents the utilization of the structure (e.g. primary, secondary, etc.).
    </t>
  </si>
  <si>
    <t>Occupant</t>
  </si>
  <si>
    <t xml:space="preserve">
This concept represents a party's role as the occupant of a physical object.
e.g. the resident of an dwelling, the tenant of an apartment
    </t>
  </si>
  <si>
    <t>Occupant  Moving In Date Time</t>
  </si>
  <si>
    <t xml:space="preserve">
The date (and time) of the moving in "Occupancy".
    </t>
  </si>
  <si>
    <t>Occupation</t>
  </si>
  <si>
    <t xml:space="preserve">
This concept provides details about the occupation of a person.
Note: This is not the same as the actual employment of a person (for example, a person still has an occupation even though he or she may be unemployed). Someone may be a seller of insurance, regardless of whether the person is an employee of an insurance company, an insurance broker, or self-employed. It is also possible for parties to have more than one occupation at a given point in time.
    </t>
  </si>
  <si>
    <t>Occupation  Anticipated Retirement Date</t>
  </si>
  <si>
    <t xml:space="preserve">
The date when the person anticipates retiring.
    </t>
  </si>
  <si>
    <t>Occupation  Current Employment Indicator</t>
  </si>
  <si>
    <t xml:space="preserve">
Indicates the person is currently employed.
    </t>
  </si>
  <si>
    <t>Occupation  Experience Duration</t>
  </si>
  <si>
    <t xml:space="preserve">
The length of experiential time with an occupation.
For example: A person has 11 years experience as a mechanic in the course of his/her life at a point in time. Whether the 11 years experience was in consecutive years or spread over more than 11 years is irrelevant; similarly, it is not relevant whether the time was with one or multiple employment scenarios. The experiential time = 11 years.
    </t>
  </si>
  <si>
    <t>Occupation  Primary Occupation Indicator</t>
  </si>
  <si>
    <t xml:space="preserve">
Indicates this occupation is the person's primary occupation.
    </t>
  </si>
  <si>
    <t>Occupation  Professional Title</t>
  </si>
  <si>
    <t xml:space="preserve">
The title of the person's occupation.
Note: This is not synonymous with "job title" which is associated with employment.
e.g. A person's occupation may be classified as "chef" and might also have a professional title of "Master Chef". The same person's job title might be "Culinary Director".
    </t>
  </si>
  <si>
    <t>Occupation  Providing Employment</t>
  </si>
  <si>
    <t xml:space="preserve">
This represents the employment provided for an occupation.
    </t>
  </si>
  <si>
    <t>Occupation Class</t>
  </si>
  <si>
    <t xml:space="preserve">
This attribute describes the person's occupation (e.g. cook, mechanic, etc.).
Note: This is not the same as the professional title, this is a general work description.
    </t>
  </si>
  <si>
    <t>Occupational Disease</t>
  </si>
  <si>
    <t xml:space="preserve">
'Impairment of health not caused by accident, but by exposure to conditions arising out of or in the course of one's employment.
    </t>
  </si>
  <si>
    <t>OCL</t>
  </si>
  <si>
    <t xml:space="preserve">
Object Constraint Language (OCL)
    </t>
  </si>
  <si>
    <t>OCS</t>
  </si>
  <si>
    <t xml:space="preserve">
Office Communications Server (OCS)
    </t>
  </si>
  <si>
    <t>OECD</t>
  </si>
  <si>
    <t xml:space="preserve">
Organisation for Economic Co-operation and Development (OECD)
    </t>
  </si>
  <si>
    <t>OFCCP</t>
  </si>
  <si>
    <t xml:space="preserve">
Office of Federal Contract Compliance Programs (OFCCP)
    </t>
  </si>
  <si>
    <t>Office Building</t>
  </si>
  <si>
    <t xml:space="preserve">
This concept represents an office block (office building).
    </t>
  </si>
  <si>
    <t>OGR</t>
  </si>
  <si>
    <t xml:space="preserve">
Original Gross Rate (OGR)
    </t>
  </si>
  <si>
    <t>OMG</t>
  </si>
  <si>
    <t xml:space="preserve">
Object Management Group (OMG)
    </t>
  </si>
  <si>
    <t>ONR</t>
  </si>
  <si>
    <t xml:space="preserve">
Original Net Rate (ONR)
    </t>
  </si>
  <si>
    <t>Open Cover Treaty Agreement</t>
  </si>
  <si>
    <t xml:space="preserve">
Open cover reinsurance treaty
Briefly referred to as an Autofac - a type of semi-automatic proportional treaty under which the cedent enjoys the freedom to decide whether or not to affect a cession but it is obligatory for the reinsurer to accept all cessions once they are made. Also known simply as the Facultative obligatory treaty (Fac/Oblig) - being the reverse of the Obligatory facultative treaty. One distinguishing feature, as compared to a treaty, is that an Autofac is not subject to any line limitation.
    </t>
  </si>
  <si>
    <t>Operating Cedent</t>
  </si>
  <si>
    <t xml:space="preserve">
The operating company used by the Cedent to transact business.
    </t>
  </si>
  <si>
    <t>Operating Condition</t>
  </si>
  <si>
    <t xml:space="preserve">
This represents the condition of a party's finances in relation to its operations. For example, a party may be negatively impacted financially due to a loss event. The negative financial impact is not specific to a physical object or place; rather, the loss may subsequently produce a decline in the party's revenue, or generate expenses that would not otherwise occur (and these are not expenses associated with repairs to objects of places).
Examples:
A business might experience a fire and as a result, lose revenue because it's operations are closed or its hours of operation are diminished.
A person might experience a fire and as a result, have an added expense for temporary housing/lodging until the person's residence is again habitable.
Note: There may be insurance coverage (e.g. business income, loss of use, etc.) that addresses the examples above, and as part of the claim process, an assessment of the party from a financial perspective (before and after a loss) may impact the management of the claim and benefits/claim payments provided.
    </t>
  </si>
  <si>
    <t>Operational Risk Agreement</t>
  </si>
  <si>
    <t xml:space="preserve">
A risk agreement concerned with operational risk management.
    </t>
  </si>
  <si>
    <t>Operational Risk Exposure</t>
  </si>
  <si>
    <t xml:space="preserve">
A risk exposure arising as a consequence of the institution's processes being badly designed, badly documented, badly executed or poorly managed.
    </t>
  </si>
  <si>
    <t>Operational Risk Factor Score</t>
  </si>
  <si>
    <t xml:space="preserve">
The rating of characteristics that have an impact on the likelihood of loss to occur. 
The rating of factors that contribute to operational risk.
    </t>
  </si>
  <si>
    <t>Operational Risk Position</t>
  </si>
  <si>
    <t xml:space="preserve">
The estimate of the possible loss for an operational risk exposure.
    </t>
  </si>
  <si>
    <t>Operations</t>
  </si>
  <si>
    <t xml:space="preserve">
This concept provides information that is used to describe the operations performed by this organization.
    </t>
  </si>
  <si>
    <t>Operations  Customer Count</t>
  </si>
  <si>
    <t xml:space="preserve">
Evaluation of the number of customers dealing with the company. This information is derived and its value depends on the company definition of what a customer is.
    </t>
  </si>
  <si>
    <t>Operations  Fiscal Year End Month Day</t>
  </si>
  <si>
    <t xml:space="preserve">
The day and month of the end of the company's fiscal year.  This is expressed as an integer value in the range of 1 through 12.
    </t>
  </si>
  <si>
    <t>Operations  Franchised Indicator</t>
  </si>
  <si>
    <t xml:space="preserve">
Indicates whether or not the organization has a franchise for one or more organizations.
    </t>
  </si>
  <si>
    <t>Operations  Naf Code</t>
  </si>
  <si>
    <t xml:space="preserve">
A code which provides a means of classifying the activities of an organization in France.
    </t>
  </si>
  <si>
    <t>Operations  Naics Code</t>
  </si>
  <si>
    <t xml:space="preserve">
The North American Industry Classification System (NAICS) is the standard used by Federal statistical agencies in classifying business establishments for the purpose of collecting, analyzing, and publishing statistical data related to the US business economy.
    </t>
  </si>
  <si>
    <t>Operations  Nature Of Business</t>
  </si>
  <si>
    <t xml:space="preserve">
This represents the type of business operations of the organization.
    </t>
  </si>
  <si>
    <t>Operations  Place</t>
  </si>
  <si>
    <t xml:space="preserve">
This represents the geographic place associated with the operations of an organization.
    </t>
  </si>
  <si>
    <t>Operations  Produced Financial Result</t>
  </si>
  <si>
    <t xml:space="preserve">
This represents a financial result based on related operations of an organization.
    </t>
  </si>
  <si>
    <t>Operations  Sic Code</t>
  </si>
  <si>
    <t xml:space="preserve">
A code which provides a means of classifying organizations in terms of the nature of their business/operations. The Standard Industrial Classification (SIC) is a United States government system for classifying industries by a four-digit code.Established in 1937, it is being supplanted by the six-digit North American Industry Classification System (NAICS), which was released in 1997; however certain government departments and agencies, such as the US Securities and Exchange Commission (SEC), still use the SIC codes.
See also: NAICS code.
    </t>
  </si>
  <si>
    <t>Opponent Third Party</t>
  </si>
  <si>
    <t xml:space="preserve">
A party who is the opponent to the claimant in the claim, such as the driver of the other car in a loss event. 
e.g: John Van Doe, driving an Alfa Romeo has an accident with Jane Smith, driving a motorcycle. John is insured with Acme and is filing in a claim. Jane is the opponent third party.
    </t>
  </si>
  <si>
    <t>Opponent Third Party  Agreement Number</t>
  </si>
  <si>
    <t xml:space="preserve">
The number used by the insurer of the third party to uniquely identify the insurance policy covering the third party for the claim.
    </t>
  </si>
  <si>
    <t>Opponent Third Party  Insurer Name</t>
  </si>
  <si>
    <t xml:space="preserve">
The name of the insurance company with whom the third party is insured for the damage related to the claim.
    </t>
  </si>
  <si>
    <t>Opponent Third Party  Liability Percentage</t>
  </si>
  <si>
    <t xml:space="preserve">
Third party liability percentage
    </t>
  </si>
  <si>
    <t>Option</t>
  </si>
  <si>
    <t xml:space="preserve">
A derivative in which the right (and not the obligation) is granted to the buyer to purchase or sell financial assets during a specified period at an agreed-upon price called the strike price. The terms and conditions applicable to the option are defined in an options contract.
    </t>
  </si>
  <si>
    <t>Optionally Renewable Contract</t>
  </si>
  <si>
    <t xml:space="preserve">
An individual health insurance contract that gives the insurer the right to refuse to renew the contract on specified dates, to add coverage limitations, and to increase the premium rate if it does so for a class of policies.
    </t>
  </si>
  <si>
    <t>Options Agreement</t>
  </si>
  <si>
    <t xml:space="preserve">
A derivative agreement that defines the terms and conditions applicable to an option.
    </t>
  </si>
  <si>
    <t>Ordinary Life Insurance</t>
  </si>
  <si>
    <t xml:space="preserve">
A type of life insurance contract that remains in full force and effect for the life of the insured, with premium payments being made for the same period.
    </t>
  </si>
  <si>
    <t>Organization</t>
  </si>
  <si>
    <t xml:space="preserve">
A business concern or a group of individuals that are systematically bound by a common purpose, with or without a legal status. Organizations may be legal entities in their own right.
Various types of organizations include and are not limited to:
- government (e.g. federal, state, regional, local, and various agencies)
- commercial organizations (limited companies, publicly quoted multinationals, subsidiaries, etc.)
- organizational units (e.g. branches, departments, teams, etc.)
- informal groups (e.g. clubs, societies, charities, interest groups, etc.)
- other similar entities
Note: Various details, such as name, legal status, nature of operations, are not included within organization because organizations may have multiple names, operations and legal details. These concepts are addressed via associations to related classes (OrganizationName, OrganizationDetail).
    </t>
  </si>
  <si>
    <t>Organization  Accounting Period</t>
  </si>
  <si>
    <t xml:space="preserve">
Accounting period of the organization
    </t>
  </si>
  <si>
    <t>Organization  Defining Party Role Relationship</t>
  </si>
  <si>
    <t xml:space="preserve">
This represents a party role relationship that defines an organization.
e.g. If a company acquires group health insurance for its employees, there is a need to make clear the parties that are part of the "group" with an awareness that not all members of the group may opt-in for health insurance, they are simply part of the group for whom the insurance was pursued. Here, the "group" may be viewed as singular with an awareness there are likely many persons who are part of this group. The [PartyRoleRelationship] hierarchy provides the means of relating parties via party roles and corresponding party role relationships. In this case, the persons participating in the group would be "group members" with an awareness a "group manager" may also exist - all of whom are members in a "group membership".
e.g. The organization/group is defined by its group membership (party role relationship).
    </t>
  </si>
  <si>
    <t>Organization  Foundation Date Time</t>
  </si>
  <si>
    <t xml:space="preserve">
The date (and time) on which the organization was founded or created.
    </t>
  </si>
  <si>
    <t>Organization  Member Count</t>
  </si>
  <si>
    <t xml:space="preserve">
The count of parties being members of this organization. This count often is an approximate number, because the number of members may in general change over time.
    </t>
  </si>
  <si>
    <t>Organization  Playing Registry Authority</t>
  </si>
  <si>
    <t xml:space="preserve">
This represents the registry authority party role that administers a registry (e.g. the New York State Department of Motor Vehicles is the party playing the role of registry authority for a registry of driver's licenses for the state of New York).
    </t>
  </si>
  <si>
    <t>Organization Detail</t>
  </si>
  <si>
    <t xml:space="preserve">
This concept is a generalizing concept providing further details about an organization.
Some details regarding a party are not likely to be necessary to perform basic processes about parties. As such, they have been separated from basic party information and identified as details.
    </t>
  </si>
  <si>
    <t>Organization Detail  Reference Period</t>
  </si>
  <si>
    <t xml:space="preserve">
States the reference  period. 
e.g. If the financial results are issued every year on the 30 of June, an example of result period is June 30, 2004 to June 30, 2005.
e.g. An organization was founded as a partnership for a given reference period. Later, the organization changed legal status to corporation for a new reference period.
    </t>
  </si>
  <si>
    <t>Organization Event</t>
  </si>
  <si>
    <t xml:space="preserve">
This represents a significant event in the existence of an organization that is of interest. Some examples include a merger, relocation, and acquisition.
    </t>
  </si>
  <si>
    <t>Organization Event  Type Code</t>
  </si>
  <si>
    <t xml:space="preserve">
A code indicating the type of organization event (e.g. foundation, dissolution, etc.).
    </t>
  </si>
  <si>
    <t>Organization Legal Status</t>
  </si>
  <si>
    <t xml:space="preserve">
This concept states the legal status of an organization.
    </t>
  </si>
  <si>
    <t>Organization Legal Status  Abbreviation Name</t>
  </si>
  <si>
    <t xml:space="preserve">
States the abbreviation for the full legal status name 
e.g. LLC (Limited Liability Company)
    </t>
  </si>
  <si>
    <t>Organization Legal Status  Description</t>
  </si>
  <si>
    <t xml:space="preserve">
Free description of the legal status
    </t>
  </si>
  <si>
    <t>Organization Legal Status  Legal Entity Type Code</t>
  </si>
  <si>
    <t xml:space="preserve">
&lt;html&gt;
  &lt;head&gt;
		&lt;style&gt;
			p {padding:0px; margin:0px;}
		&lt;/style&gt;
	&lt;/head&gt;
  &lt;body&gt;
    &lt;p&gt;
This represents the applicable type of legal entity. A legal entity is a party (person or organization) that has the legal capability of entering into a contract with another entity. Essentially, this status makes it possible for a properly incorporated organization to function in the same manner that an individual can, when it comes to entering into binding contracts for all types of goods and services. Along with the ability to legally establish contractual relationships with others, the entity has the responsibility of upholding the terms and conditions of those agreements, or risking the possibility of being sued for failing to honor those contractual obligations.
    &lt;/p&gt;
    &lt;p&gt;
&amp;#160;
    &lt;/p&gt;
    &lt;p&gt;
Just about any type of incorporated business or organization can be considered a legal entity. This includes companies that operate for profit, non-profit associations and other groups, partnerships, and even trust funds. When a business or other organization complies with the requirements put in place by the jurisdiction where it is established, it is normally treated as if the business or organization was an individual. This is true when it comes to matters like paying taxes, obtaining business or operating licenses, and engaging in any type of legal actions.
    &lt;/p&gt;
    &lt;p&gt;
&amp;#160;
    &lt;/p&gt;
    &lt;ul&gt;
      &lt;li&gt;
One key benefit of being defined as a legal entity is that this status makes it possible for legal action to be brought against the company, rather than against the people who own and operate the organization.
      &lt;/li&gt;
    &lt;/ul&gt;
    &lt;p&gt;
&amp;#160;
    &lt;/p&gt;
    &lt;ul&gt;
      &lt;li&gt;
A corporation sole is a legal entity in which one person and his or her subsequent successors are granted the lawful status of a corporation.
      &lt;/li&gt;
    &lt;/ul&gt;
  &lt;/body&gt;
&lt;/html&gt;
    </t>
  </si>
  <si>
    <t>Organization Legal Status  Name</t>
  </si>
  <si>
    <t xml:space="preserve">
States the full legal name of the status. Example: Limited liability
    </t>
  </si>
  <si>
    <t>Organization Legal Status  Place</t>
  </si>
  <si>
    <t xml:space="preserve">
This represents the geographic place associated with the legal status of an organization (e.g. place of incorporation).
    </t>
  </si>
  <si>
    <t>Organization Legal Status  Tax Exempt Indicator</t>
  </si>
  <si>
    <t xml:space="preserve">
This indicates the organization is exempt from revenue tax.
    </t>
  </si>
  <si>
    <t>Organization Name</t>
  </si>
  <si>
    <t xml:space="preserve">
This concept represents an organization's name.
    </t>
  </si>
  <si>
    <t>Organization Name  Usage Code</t>
  </si>
  <si>
    <t xml:space="preserve">
A code indicating the use of the organization's name.
    </t>
  </si>
  <si>
    <t>Organization Owner</t>
  </si>
  <si>
    <t xml:space="preserve">
This concept represents a party's role as an organization owner.
    </t>
  </si>
  <si>
    <t>Organization Owner  Interest Percentage</t>
  </si>
  <si>
    <t xml:space="preserve">
The percentage of interest in the related owned organization (e.g. percent of ownership).
    </t>
  </si>
  <si>
    <t>Organization Relationship</t>
  </si>
  <si>
    <t xml:space="preserve">
This concept defines the relationship between a party acting as a parent organization and another party acting as a child/subsidiary organization.
    </t>
  </si>
  <si>
    <t>Organization Relationship  Child</t>
  </si>
  <si>
    <t xml:space="preserve">
This represents the child organization in an organization relationship (e.g. Beta Subsidiary Company is the "child" company in its relationship with Alpha Company).
    </t>
  </si>
  <si>
    <t>Organization Relationship  Parent</t>
  </si>
  <si>
    <t xml:space="preserve">
This represents the parent organization in an organization relationship (e.g. Alpha Company is the "parent" company in its relationship with Beta Subsidiary Company).
    </t>
  </si>
  <si>
    <t>Organization Status</t>
  </si>
  <si>
    <t xml:space="preserve">
This represents the status of an organization.
    </t>
  </si>
  <si>
    <t>Organization Status  Code</t>
  </si>
  <si>
    <t xml:space="preserve">
The current status of the organization within the life cycle model.
    </t>
  </si>
  <si>
    <t>Organization Unit</t>
  </si>
  <si>
    <t xml:space="preserve">
A component or subdivision of an organization established for the purpose of performing discrete functional responsibilities. This typically represents the organizational structure of the modeled organization including sections, departments, district offices, projects, and employment positions. 
e.g: Claims unit. 
e.g: Branch Office #24. 
e.g: Consumer Services Division 
e.g: Legal Department
    </t>
  </si>
  <si>
    <t>Original Cedent</t>
  </si>
  <si>
    <t xml:space="preserve">
Original ceding company involved in an underlying reinsurance, in text form.
    </t>
  </si>
  <si>
    <t>Original Contract Limit</t>
  </si>
  <si>
    <t xml:space="preserve">
Claim Limit Amount that is associated with a contract (i.e. per occurrence, or aggregate limit).
    </t>
  </si>
  <si>
    <t>Original Contract Limit Per Occurrence</t>
  </si>
  <si>
    <t xml:space="preserve">
Limit of liability per occurrence on the insurance contract.
    </t>
  </si>
  <si>
    <t>Original Contractholder</t>
  </si>
  <si>
    <t xml:space="preserve">
The person or organization that took the original insurance with the insurance company that ceded the business.
    </t>
  </si>
  <si>
    <t>Original Insurer</t>
  </si>
  <si>
    <t xml:space="preserve">
Name of the original insurer.
    </t>
  </si>
  <si>
    <t>Original Policy Commission</t>
  </si>
  <si>
    <t xml:space="preserve">
Allowance made, usually based on a percentage of premium as stipulated in the original contract, to cover part or all of a company's acquisition and other costs.
    </t>
  </si>
  <si>
    <t>Original Reinsurer</t>
  </si>
  <si>
    <t xml:space="preserve">
Name of the original reinsurer (in the case of retrocession's) in text form.
    </t>
  </si>
  <si>
    <t>ORP</t>
  </si>
  <si>
    <t xml:space="preserve">
Optional Retirement Program (ORP)
    </t>
  </si>
  <si>
    <t>Other Deductions</t>
  </si>
  <si>
    <t xml:space="preserve">
The basis, description, percentage etc. on which the other deductions are calculated. (e.g. Fire Brigade/Protection Charges, Other Deductions, Overriding Commission, Tax on Loss Reserve Interest, Tax on Premium Reserve Interest.
    </t>
  </si>
  <si>
    <t>Other Deductions Percentage</t>
  </si>
  <si>
    <t xml:space="preserve">
The percentage of the premium that will be withheld as other deductions.
    </t>
  </si>
  <si>
    <t>Other Household Member</t>
  </si>
  <si>
    <t xml:space="preserve">
This represents another household member. Other household members can include children, dependent adults, or independent adults living within the same household.
    </t>
  </si>
  <si>
    <t>Other Household Member  Including Household</t>
  </si>
  <si>
    <t xml:space="preserve">
This represents the household relationship in which the household member(s) other than the head of household participates.
    </t>
  </si>
  <si>
    <t>Other Original Cedent's Underwriting Expenses Amount</t>
  </si>
  <si>
    <t xml:space="preserve">
Cedent's original underwriting expenses with the exception of loss prevention and internal loss adjustment expenses not covered by another code.
    </t>
  </si>
  <si>
    <t>Outbuilding</t>
  </si>
  <si>
    <t xml:space="preserve">
This concept represents an outbuilding
    </t>
  </si>
  <si>
    <t>Outpatient</t>
  </si>
  <si>
    <t xml:space="preserve">
Patient who is not formally admitted to the facility (physician's private office, hospital outpatient center or ambulatory-care center) and does not stay overnight. 
See also Inpatient (per contrast).
    </t>
  </si>
  <si>
    <t>Outpatient Care</t>
  </si>
  <si>
    <t xml:space="preserve">
Medical and paramedical services delivered to a patient (called outpatient) who is not formally admitted to the facility (physician's private office, hospital outpatient center or ambulatory-care center) and does not stay overnight. See also Inpatient care.
    </t>
  </si>
  <si>
    <t>Outstanding Expense</t>
  </si>
  <si>
    <t xml:space="preserve">
Actual amount of total expenses not paid by an insurance company during a specific time interval.
    </t>
  </si>
  <si>
    <t>Outstanding Loss</t>
  </si>
  <si>
    <t xml:space="preserve">
Actual amount of total losses not paid by an insurance company during a specific time interval.
    </t>
  </si>
  <si>
    <t>Overriding Cedent Commission Percentage</t>
  </si>
  <si>
    <t xml:space="preserve">
Percentage of the premium amounts under a contract payable to the cedent as overriding commission.
    </t>
  </si>
  <si>
    <t>Overriding Commission</t>
  </si>
  <si>
    <t xml:space="preserve">
1. For reinsurance and large commercial lines, a fee or percentage of money which is paid to a party responsible for placing a retrocession of reinsurance.
2. In insurance, a fee or percentage of money which is paid by the insurer to an agent or general agent for premium volume produced by other agents in a given geographic territory.
    </t>
  </si>
  <si>
    <t>Overriding Commission Basis</t>
  </si>
  <si>
    <t xml:space="preserve">
The basis on which overriding commission is calculated e.g. on Gross premium less commission and tax.
    </t>
  </si>
  <si>
    <t>Overriding Profit Commission</t>
  </si>
  <si>
    <t xml:space="preserve">
See Super Profit Commission Amount.
    </t>
  </si>
  <si>
    <t>Overriding Retrocession Fee Amount</t>
  </si>
  <si>
    <t xml:space="preserve">
Fee to compensate retro ceding company's administration expenses. European requirement for aviation treaties.
    </t>
  </si>
  <si>
    <t>Owned Organization</t>
  </si>
  <si>
    <t xml:space="preserve">
This concept represents an organization's role as an owned organization in relation to the organization owner(s).
    </t>
  </si>
  <si>
    <t>Owner</t>
  </si>
  <si>
    <t xml:space="preserve">
A party role which has or possesses a property (ies) or has rights and/or interest in said property (ies). The term "property" indicates various physical objects including land.
    </t>
  </si>
  <si>
    <t>Ownership Relationship</t>
  </si>
  <si>
    <t xml:space="preserve">
This concept defines the business relationship between an organization owner and a corresponding owned organization.
    </t>
  </si>
  <si>
    <t>OYT</t>
  </si>
  <si>
    <t xml:space="preserve">
One Year Term (OYT)
    </t>
  </si>
  <si>
    <t>P&amp;C</t>
  </si>
  <si>
    <t xml:space="preserve">
Property &amp; Casualty (P&amp;C)
    </t>
  </si>
  <si>
    <t>P&amp;I</t>
  </si>
  <si>
    <t xml:space="preserve">
Protection &amp; Indemnity (P&amp;I)
    </t>
  </si>
  <si>
    <t xml:space="preserve">
Physician Assistant or Associate (PA); Posterior-Anterior (PA)
    </t>
  </si>
  <si>
    <t>PA-C</t>
  </si>
  <si>
    <t xml:space="preserve">
Physician's Assistant Certified (PA-C)
    </t>
  </si>
  <si>
    <t>Pager Contact</t>
  </si>
  <si>
    <t xml:space="preserve">
This concept represents a pager as a means of contact.
    </t>
  </si>
  <si>
    <t>Pager Contact  Telephone Number</t>
  </si>
  <si>
    <t xml:space="preserve">
This represents the telephone number "address" for a pager contact.
    </t>
  </si>
  <si>
    <t>Paid Loss</t>
  </si>
  <si>
    <t xml:space="preserve">
Actual amount of losses paid by an insurance company during a specific time interval.
    </t>
  </si>
  <si>
    <t>Palliative Care</t>
  </si>
  <si>
    <t xml:space="preserve">
Care which provides the best quality of life for the critically or terminally ill by ensuring their comfort and dignity. An important objective of palliative care is the relief of pain and other symptoms. Palliative care is planned to meet not only physical needs, but also psychological, social, cultural, emotional, and spiritual needs of the ill person and his or her family. Associated with the hospice care concept.
    </t>
  </si>
  <si>
    <t>Parachuting Experience</t>
  </si>
  <si>
    <t xml:space="preserve">
This represents parachuting experience as a lifestyle activity (e.g. leisure pursuit).
    </t>
  </si>
  <si>
    <t>Paramedical Examination</t>
  </si>
  <si>
    <t xml:space="preserve">
Physical examination of an applicant by a qualified medical practitioner other than a physician.
    </t>
  </si>
  <si>
    <t>Parent</t>
  </si>
  <si>
    <t xml:space="preserve">
This concept represents a parent.
    </t>
  </si>
  <si>
    <t>Parent Organization</t>
  </si>
  <si>
    <t xml:space="preserve">
This concept represents an organization's role as a parent in relation to another organization's related role of child (e.g. parent organization and its subsidiary, the parent organization and its organization unit/department).
e.g. General Motors Company includes Chevrolet, Cadillac and Buick
e.g. General Motors Company includes a design department and a manufacturing department.
    </t>
  </si>
  <si>
    <t>Parent Organization  Organization Relationship</t>
  </si>
  <si>
    <t xml:space="preserve">
This represents the organization relationship in which the parent organization participates.
    </t>
  </si>
  <si>
    <t>Parent Sibling</t>
  </si>
  <si>
    <t xml:space="preserve">
This concept represents a parent's sibling (e.g. aunt, uncle).
    </t>
  </si>
  <si>
    <t>Parked Vehicle</t>
  </si>
  <si>
    <t xml:space="preserve">
This role represents a parked vehicle in the context of the place at which it is parked.
    </t>
  </si>
  <si>
    <t>Parked Vehicle  Parking Code</t>
  </si>
  <si>
    <t xml:space="preserve">
A code indicating where the vehicle is parked.
    </t>
  </si>
  <si>
    <t>Parked Vehicle  Parking Hours Code</t>
  </si>
  <si>
    <t xml:space="preserve">
A code indicting the portion of the day when the vehicle is parked.
    </t>
  </si>
  <si>
    <t>Parked Vehicle  Parking Place Type Code</t>
  </si>
  <si>
    <t xml:space="preserve">
A code indicating the type of place where the vehicle is parked.
    </t>
  </si>
  <si>
    <t>Parking Area</t>
  </si>
  <si>
    <t xml:space="preserve">
A parking area (Commonwealth English: car park), also known as car lot, is a cleared area that is more or less level and is intended for parking vehicles. Usually, the term refers to a dedicated area that has been provided with a durable or semi-durable surface.
    </t>
  </si>
  <si>
    <t>Parking Area  Space Count</t>
  </si>
  <si>
    <t xml:space="preserve">
The count of parking spaces in a parking area.
    </t>
  </si>
  <si>
    <t>Part Time Employees Total Count</t>
  </si>
  <si>
    <t xml:space="preserve">
The number of workers working part-time as defined by the applicable labor law.
    </t>
  </si>
  <si>
    <t>Participating Contract</t>
  </si>
  <si>
    <t xml:space="preserve">
Life insurance agreement that entitles beneficiaries to a share of the insurer's profits. Examples of participation types include: nonparticipating with coupons, non-participation with guaranteed annual endowments, etc.
    </t>
  </si>
  <si>
    <t>Party</t>
  </si>
  <si>
    <t xml:space="preserve">
This is the super type for all organizations and persons.
    </t>
  </si>
  <si>
    <t>Party  Established Fiscal Domicile</t>
  </si>
  <si>
    <t xml:space="preserve">
This represents a party's place of fiscal residence or business establishment, often relevant for tax purposes.
    </t>
  </si>
  <si>
    <t>Party  Owned Account</t>
  </si>
  <si>
    <t xml:space="preserve">
This is the owned account of the owning party (e.g. owner).
    </t>
  </si>
  <si>
    <t>Party  Owned General Ownership</t>
  </si>
  <si>
    <t xml:space="preserve">
This represents a party's general ownership of something.
    </t>
  </si>
  <si>
    <t>Party  Preferred Communication Profile</t>
  </si>
  <si>
    <t xml:space="preserve">
This is the communication profile (e.g. medium) preferred by the party for communicating, independent from a particular means of being contacted. This includes language preferences, visual preferences, audio preferences, cognitive preferences and mobility preferences.
    </t>
  </si>
  <si>
    <t>Party  Preferred Contact Method</t>
  </si>
  <si>
    <t xml:space="preserve">
This represents the characteristics of the way a party wants to be contacted. This includes the contact points, preferred communication profile (including language and medium), name and timing preferences, preferred contacting person, and restrictions on the contact frequency. It also defines the usage such as business or private and the purpose, such as billing or mailing.
    </t>
  </si>
  <si>
    <t>Party  Registering Membership Registration</t>
  </si>
  <si>
    <t xml:space="preserve">
This represents the membership registration to which a party is a member.
    </t>
  </si>
  <si>
    <t>Party  Registering Tax Registration</t>
  </si>
  <si>
    <t xml:space="preserve">
This represents the tax registration to which a party is a registrant.
    </t>
  </si>
  <si>
    <t>Party Detail</t>
  </si>
  <si>
    <t xml:space="preserve">
This concept is a generalizing concept providing further details about a person or an organization.
Some details regarding a party are not likely to be necessary to perform basic processes about parties. As such, they have been separated from basic party information and identified as details.
Examples are financial results of a company, family details...
Thus, a list of party details are linked to a party, being an organization or a party: asking for a detailed view of a party is tantamount to asking for this list.
Elements of this list are typed as:
- person specific details: birth and marriage details...
- organization specific details: financial results for instance
- fiscal residence
- tax file
- and membership (see Membership)
Party details are saved within instances of specialization of PartyDetail.
    </t>
  </si>
  <si>
    <t>Party Detail  Applicability Code</t>
  </si>
  <si>
    <t xml:space="preserve">
A code indicating the applicability of something concerning a party (person, organization, etc.).
    </t>
  </si>
  <si>
    <t>Party Detail  Effective Period</t>
  </si>
  <si>
    <t xml:space="preserve">
Validity period of the piece of information.
    </t>
  </si>
  <si>
    <t>Party Marketing Information</t>
  </si>
  <si>
    <t xml:space="preserve">
This concept defines the marketing details of a Party.
The model allows to add a marketing profile to a party (person, or organization). 
Generally, MarketingProfile is related to a CustomerRelationship. It contains all information dedicated to marketing follow-up. A MarketingProfile is composed of MarketingDetails.
Note: Some attributes can be calculated properties (from information contained elsewhere in the model).
    </t>
  </si>
  <si>
    <t>Party Marketing Information  First Contact Date Time</t>
  </si>
  <si>
    <t xml:space="preserve">
The date (and time) of the first contact with the person/organization.
    </t>
  </si>
  <si>
    <t>Party Marketing Information  First Contact Origin</t>
  </si>
  <si>
    <t xml:space="preserve">
Defines the conditions of the first contact with the person/organization.
    </t>
  </si>
  <si>
    <t>Party Marketing Information  Marketing Option Indicator</t>
  </si>
  <si>
    <t xml:space="preserve">
Defines if the customer/prospect is a candidate for marketing campaign or could be solicited by other marketing activities.
    </t>
  </si>
  <si>
    <t>Party Marketing Information  Utilized Financial Services Agreement</t>
  </si>
  <si>
    <t xml:space="preserve">
This represents the financial services agreement being utilized for marketing purposes. It may be an agreement already established as a result of marketing activities or an agreement associated with a competitor (competing product/agreement).
    </t>
  </si>
  <si>
    <t>Party Matching Engine Category</t>
  </si>
  <si>
    <t xml:space="preserve">
This concept specifies a party matching engine category.
    </t>
  </si>
  <si>
    <t>Party Name</t>
  </si>
  <si>
    <t xml:space="preserve">
This abstract concept includes name details common to persons and organizations.
    </t>
  </si>
  <si>
    <t>Party Name  Default Indicator</t>
  </si>
  <si>
    <t xml:space="preserve">
Indicates this is the default party name.
e.g. If the party has only one name and it is designated as the "default" name, that name applies for all scenarios (party and related party roles).
    </t>
  </si>
  <si>
    <t>Party Name  Description</t>
  </si>
  <si>
    <t xml:space="preserve">
The textual description of party name.
    </t>
  </si>
  <si>
    <t>Party Name  Effective Period</t>
  </si>
  <si>
    <t xml:space="preserve">
The time period associated with a party name.
e.g. The given name for a person has an end date in the event of marriage.
e.g. The organization name "Lloyd's of London" changed to "Lloyd's".
    </t>
  </si>
  <si>
    <t>Party Name  Full Name</t>
  </si>
  <si>
    <t xml:space="preserve">
The name of the party. This is an unstructured name for a person or organization.
With regards to a person's name, this can be utilized as the complete aggregated name used for identifying a person when the components of the name are unavailable or inapplicable. This may be viewed as a derived name, derived as a concatenation of the various elements that comprise the entire name or portions thereof. e.g: Dr. Mary Jane Wilson, PhD; Dr. Mary Wilson.
    </t>
  </si>
  <si>
    <t>Party Name  Language Code</t>
  </si>
  <si>
    <t xml:space="preserve">
A code representing the language in which the party name is expressed. This is particularly useful for multilingual countries where persons or companies can have multiple names, one in each language. (see ISO 639).
    </t>
  </si>
  <si>
    <t>Party Profile</t>
  </si>
  <si>
    <t xml:space="preserve">
Grouping of person or organization attributes used to perform analysis on parties that share the same characteristics. For example, Person Profile or Household Profile
    </t>
  </si>
  <si>
    <t>Party Registration</t>
  </si>
  <si>
    <t xml:space="preserve">
This super-type is used for the identification of a party through specific country attributes.
Some data about a party can be used as a way to identify it. For example, the tax file id can be used to quickly identify a person or an organization. 
This relationship allows to attach such identification data to a party.  Some identification data can be common to several parties: for example a social security id can be shared with the children of a person.
An official recognition related to a role player. 
e.g: A driving license.
    </t>
  </si>
  <si>
    <t>Party Role</t>
  </si>
  <si>
    <t xml:space="preserve">
This concept is the generalizing concept of all types of party roles.
    </t>
  </si>
  <si>
    <t>Party Role  Designed Specification</t>
  </si>
  <si>
    <t xml:space="preserve">
This represents the specification designed by the party role acting as designer.
    </t>
  </si>
  <si>
    <t>Party Role  Name</t>
  </si>
  <si>
    <t xml:space="preserve">
This represents a party role's name (e.g. the party/person has a legal name "William Shakespeare" and when playing the role "insured" prefers the name "Mr. William Shakespeare").
    </t>
  </si>
  <si>
    <t>Party Role  Owned Capability</t>
  </si>
  <si>
    <t xml:space="preserve">
This represents a capability owned by a party role. A party can have several roles. Each party role can have an associated capability(s).
e.g. Mr. Smith has a role "loss adjuster". As such, he is an fire expert of level 1 since the 1st of June 2004 and has been a theft expert of level 2 since the 1st of June 2001. Two capabilities will be attached to his  role.
    </t>
  </si>
  <si>
    <t>Party Role  Player Party</t>
  </si>
  <si>
    <t xml:space="preserve">
This represents the party playing a party role. For example, the party role of "Insurer" may be played by the party "Acme Insurance".
    </t>
  </si>
  <si>
    <t>Party Role  Preferred Contact Method</t>
  </si>
  <si>
    <t xml:space="preserve">
This represents the characteristics of the way a party role wants to be contacted. This includes the contact methods, preferred communication profile (including language and medium), name and timing preferences, preferred contacting person, and restrictions on the contact frequency. It also defines the usage such as business or private and the purpose, such as billing or mailing.
    </t>
  </si>
  <si>
    <t>Party Role In Activity</t>
  </si>
  <si>
    <t xml:space="preserve">
A role played by a party in the context of an activity.
    </t>
  </si>
  <si>
    <t>Party Role In Agreement</t>
  </si>
  <si>
    <t xml:space="preserve">
A role played by a party in the context of an agreement.
    </t>
  </si>
  <si>
    <t>Party Role In Agreement  Basing Party Role In Agreement Specification</t>
  </si>
  <si>
    <t xml:space="preserve">
This represents the party role in agreement specification being utilized in the design of a product.
    </t>
  </si>
  <si>
    <t>Party Role In Agreement Specification  Controlled Party Role In Relationship Specification</t>
  </si>
  <si>
    <t xml:space="preserve">
This represents the party role in relationship specification that is being controlled by the party role in agreement specification (e.g. the relationship roles of "spouse" and "child" may be controlled by the agreement role "beneficiary" in support of product design.
    </t>
  </si>
  <si>
    <t>Party Role In Claim</t>
  </si>
  <si>
    <t xml:space="preserve">
A role played by a party  in the context of a claim such as claimant, adjuster, representative, claimee, expert or third party role in claim.
    </t>
  </si>
  <si>
    <t>Party Role In Claim  Involving Claim Base</t>
  </si>
  <si>
    <t xml:space="preserve">
This represents the claim base (e.g. claim, claim offer, etc.) involving a party role in a claim (e.g. claimant, witness, etc.).
    </t>
  </si>
  <si>
    <t>Party Role In Event</t>
  </si>
  <si>
    <t xml:space="preserve">
A role played by a party in the context of an event.
    </t>
  </si>
  <si>
    <t>Party Role In Marketing</t>
  </si>
  <si>
    <t xml:space="preserve">
A role played by a party in the context of marketing.
    </t>
  </si>
  <si>
    <t>Party Role In Marketing  Involved Marketing Campaign</t>
  </si>
  <si>
    <t xml:space="preserve">
This represents the marketing campaign in which a party role in marketing is involved.
    </t>
  </si>
  <si>
    <t>Party Role In Product</t>
  </si>
  <si>
    <t xml:space="preserve">
A role played by a party in the context of a product.
    </t>
  </si>
  <si>
    <t>Party Role In Product  Involving Product Specification</t>
  </si>
  <si>
    <t xml:space="preserve">
This represents the product specification (e.g. blueprint/design)  involving a party role in product (e.g. product administrator, product manager, etc.).
    </t>
  </si>
  <si>
    <t>Party Role In Registration</t>
  </si>
  <si>
    <t xml:space="preserve">
A role played by a party in the context of a registration.
    </t>
  </si>
  <si>
    <t>Party Role In Relationship</t>
  </si>
  <si>
    <t xml:space="preserve">
A role played by a party in the context of a relationship.
    </t>
  </si>
  <si>
    <t>Party Role In Relationship  Basing Party Role In Relationship Specification</t>
  </si>
  <si>
    <t xml:space="preserve">
This represents the party role in relationship specification being utilized in the design of a product.
    </t>
  </si>
  <si>
    <t>Party Role In Relationship Specification  Utilized Party Role In Agreement Specification</t>
  </si>
  <si>
    <t xml:space="preserve">
This represents the party role in agreement specification being utilized by a party role in relationship specification. For example, the product design is such that the party playing the role of "beneficiary" on an agreement is limited to the party role in relationship of "spouse".
    </t>
  </si>
  <si>
    <t>Party Role On Physical Object</t>
  </si>
  <si>
    <t xml:space="preserve">
A role played by a party in the context of a physical object.
    </t>
  </si>
  <si>
    <t>Party Role On Physical Object  Interest Percentage</t>
  </si>
  <si>
    <t xml:space="preserve">
The percentage of interest in a physical object (e.g. percent of ownership, percent of creation, percent of use, etc.).
    </t>
  </si>
  <si>
    <t>Party Role On Physical Object  Involved Physical Object</t>
  </si>
  <si>
    <t xml:space="preserve">
This represents the physical object involved in a party role on a physical object (e.g. a vehicle is the physical object involved in the party role "vehicle user").
    </t>
  </si>
  <si>
    <t>Party Role Registration</t>
  </si>
  <si>
    <t xml:space="preserve">
This is the super type for all party role registrations.
    </t>
  </si>
  <si>
    <t>Party Role Relationship</t>
  </si>
  <si>
    <t xml:space="preserve">
This concept depicts the nature of an association (e.g. relationship) between two or more party roles.
    </t>
  </si>
  <si>
    <t>Party Role Relationship  Defined Organization</t>
  </si>
  <si>
    <t xml:space="preserve">
This represents an organization defined by a party role relationship.
e.g. If a company acquires group health insurance for its employees, there is a need to make clear the parties that are part of the "group" with an awareness that not all members of the group may opt-in for health insurance, they are simply part of the group for whom the insurance was pursued. Here, the "group" may be viewed as singular with an awareness there are likely many persons who are part of this group. The [PartyRoleRelationship] hierarchy provides the means of relating parties via party roles and corresponding party role relationships. In this case, the persons participating in the group would be "group members" with an awareness a "group manager" may also exist - all of whom are members in a "group membership".
e.g. The organization/group is defined by its group membership (party role relationship).
    </t>
  </si>
  <si>
    <t>Party Role Relationship Status</t>
  </si>
  <si>
    <t xml:space="preserve">
This represents the status of a party role relationship.
    </t>
  </si>
  <si>
    <t>Passport</t>
  </si>
  <si>
    <t xml:space="preserve">
This concept represents a country registration stands for a passport.
    </t>
  </si>
  <si>
    <t>Patient</t>
  </si>
  <si>
    <t xml:space="preserve">
A person in contact with the health system seeking attention for a health condition.
    </t>
  </si>
  <si>
    <t>Patient  Homebound Indicator</t>
  </si>
  <si>
    <t xml:space="preserve">
Indicates whether the patient is homebound.
    </t>
  </si>
  <si>
    <t>Patient  Last Discharge Facility Type</t>
  </si>
  <si>
    <t xml:space="preserve">
Indicates the type of health care facility from which the patient was most recently discharged.
    </t>
  </si>
  <si>
    <t>Payee</t>
  </si>
  <si>
    <t xml:space="preserve">
A person or organization who receives payments.
    </t>
  </si>
  <si>
    <t>Paying Financial Institution</t>
  </si>
  <si>
    <t xml:space="preserve">
The paying financial institution in relation to a whole financial account or a financial account item.
    </t>
  </si>
  <si>
    <t>Paying Servicer</t>
  </si>
  <si>
    <t xml:space="preserve">
A servicing role whereby the party is responsible for the payment of revenue, such as dividends, capital gain, interest, and so on. 
e.g: Jim Jones, as servicing agent in the investment contract held by Grace Cruise. Jim is in charge of paying the interests resulting from the investment to Grace.
    </t>
  </si>
  <si>
    <t>Payment Clearance Date</t>
  </si>
  <si>
    <t xml:space="preserve">
The date on which the payment is confirmed to be cleared.
    </t>
  </si>
  <si>
    <t>Payment Expense</t>
  </si>
  <si>
    <t xml:space="preserve">
The expense amount payment under the contract.
    </t>
  </si>
  <si>
    <t>Payment Frequency</t>
  </si>
  <si>
    <t xml:space="preserve">
The frequency of a payment. For example: annual, monthly, weekly, or daily. In life Insurance, this may also be known as Payment Mode.
    </t>
  </si>
  <si>
    <t>Payment Inuring Losses And Expenses</t>
  </si>
  <si>
    <t xml:space="preserve">
The amount recoverable by the ceding company from inuring reinsurance for this claim.
    </t>
  </si>
  <si>
    <t>Payment Method</t>
  </si>
  <si>
    <t xml:space="preserve">
This represents a payment method of some type utilized for source, destination, money in, or money out purposes.
    </t>
  </si>
  <si>
    <t>Payment Method  Payer</t>
  </si>
  <si>
    <t xml:space="preserve">
This represents the party acting as the payer for a given payment method.
    </t>
  </si>
  <si>
    <t>Payment Performance Score</t>
  </si>
  <si>
    <t xml:space="preserve">
A rating of a party for the way it fulfill its payment obligations towards the modeled organization, based on the party's payment history.
    </t>
  </si>
  <si>
    <t>Payout Benefit</t>
  </si>
  <si>
    <t xml:space="preserve">
This represents a payout benefit within the context of an agreement. This is sometimes known as a single payout stream. A payout stream is a repetitive series of payments of predictable fluctuations (i.e. the original amount may change over time based on a predictable schedule), or a single lump sum distribution.
    </t>
  </si>
  <si>
    <t>Payout Benefit  Income Option Type Code</t>
  </si>
  <si>
    <t xml:space="preserve">
A code indicting the income option (e.g. the type of periodic payments) that will be made to the appropriate party role on the agreement (e.g. Annuitant).
    </t>
  </si>
  <si>
    <t>Payout Benefit Specification  Type Code</t>
  </si>
  <si>
    <t xml:space="preserve">
A code indicating a type of payout (e.g. Immediate, Deferred, etc.). Note that an annuity can have one or more payout option.
    </t>
  </si>
  <si>
    <t>PC</t>
  </si>
  <si>
    <t xml:space="preserve">
Protein/Creatinine (PC)
    </t>
  </si>
  <si>
    <t>PCB</t>
  </si>
  <si>
    <t xml:space="preserve">
Polychlorinated Biphenyl (PCB)
    </t>
  </si>
  <si>
    <t>PCIAA</t>
  </si>
  <si>
    <t xml:space="preserve">
Property Casualty Insurers Association of America (PCIAA)
    </t>
  </si>
  <si>
    <t>PCP</t>
  </si>
  <si>
    <t xml:space="preserve">
Phencyclidine (PCP)
    </t>
  </si>
  <si>
    <t>PCR</t>
  </si>
  <si>
    <t xml:space="preserve">
Polymerase Chain Reaction (PCR)
    </t>
  </si>
  <si>
    <t>PD</t>
  </si>
  <si>
    <t xml:space="preserve">
Property Damage (PD)
    </t>
  </si>
  <si>
    <t xml:space="preserve">
Professional Engineer (PE)
    </t>
  </si>
  <si>
    <t>Penalty Amount</t>
  </si>
  <si>
    <t xml:space="preserve">
The maximum monetary amount for which the surety may normally be held liable under the bond.
    </t>
  </si>
  <si>
    <t>Penalty Phase</t>
  </si>
  <si>
    <t xml:space="preserve">
In Life Insurance, the period during which surrender charges are in force, as defined in the contract.
    </t>
  </si>
  <si>
    <t>PEng</t>
  </si>
  <si>
    <t xml:space="preserve">
Professional Engineer (PEng)
    </t>
  </si>
  <si>
    <t>Pension Scheme Member</t>
  </si>
  <si>
    <t xml:space="preserve">
An individual member of an employer pension scheme.
    </t>
  </si>
  <si>
    <t>Peril</t>
  </si>
  <si>
    <t xml:space="preserve">
This concept represents a peril (e.g. hazard such as "fire" or "theft"). The recursive link allows one peril to have a relationship with another peril (e.g. the peril of "theft" could have a relationship with the peril of "theft with violence" and also "theft without violence").
    </t>
  </si>
  <si>
    <t>Peril  Description</t>
  </si>
  <si>
    <t xml:space="preserve">
Describes the generating event.
    </t>
  </si>
  <si>
    <t>Peril  Included Peril</t>
  </si>
  <si>
    <t xml:space="preserve">
This represents a peril included in another peril (e.g. the peril "theft" could include the sub-peril "theft with violence" and/or "theft without violence").
    </t>
  </si>
  <si>
    <t>Peril  Name</t>
  </si>
  <si>
    <t xml:space="preserve">
Name of the event type
    </t>
  </si>
  <si>
    <t>Permanent Total Disability</t>
  </si>
  <si>
    <t xml:space="preserve">
A condition deriving from injury or illness, in which a wage earner is forever prevented from working. See also Permanent and partial disability, Temporary and total disability, Temporary and partial disability (per contrast).
    </t>
  </si>
  <si>
    <t>Person</t>
  </si>
  <si>
    <t xml:space="preserve">
A unique human being who exists or existed in the past.
    </t>
  </si>
  <si>
    <t>Person  Birth Date Time</t>
  </si>
  <si>
    <t xml:space="preserve">
The date (and time) of birth of the person.
    </t>
  </si>
  <si>
    <t>Person  Blood Type Code</t>
  </si>
  <si>
    <t xml:space="preserve">
The classification of the person's blood with regard to ABO and Rhesus systems in the human blood type profile. 
e.g: A 
e.g: A+ 
e.g: AB 
e.g: AB+ 
e.g: B- 
e.g: B+ 
e.g: O 
e.g: O+
    </t>
  </si>
  <si>
    <t>Person  Death Indicator</t>
  </si>
  <si>
    <t xml:space="preserve">
Indicates a person is dead. This attribute can be used when the death date is unknown.
    </t>
  </si>
  <si>
    <t>Person  Ethnicity Code</t>
  </si>
  <si>
    <t xml:space="preserve">
Identifies the ethnic group to which an individual is associated. 
e.g: Afro-American. 
e.g: Caucasian.
    </t>
  </si>
  <si>
    <t>Person  Gender Code</t>
  </si>
  <si>
    <t xml:space="preserve">
A code representing a person's gender.
    </t>
  </si>
  <si>
    <t>Person  Marital Status Code</t>
  </si>
  <si>
    <t xml:space="preserve">
A code indicating the person's current marital status.
    </t>
  </si>
  <si>
    <t>Person  Missing Date Time</t>
  </si>
  <si>
    <t xml:space="preserve">
The date (and time) the person was listed as missing.
    </t>
  </si>
  <si>
    <t>Person  Missing Indicator</t>
  </si>
  <si>
    <t xml:space="preserve">
Indicates whether or not the person's whereabouts are known.
    </t>
  </si>
  <si>
    <t>Person  Primary Language Code</t>
  </si>
  <si>
    <t xml:space="preserve">
A code representing the primary language of a person (see ISO 639).
    </t>
  </si>
  <si>
    <t>Person  Registering Civil Registration</t>
  </si>
  <si>
    <t xml:space="preserve">
This represents the civil registration to which a person is a registrant.
    </t>
  </si>
  <si>
    <t>Person  Registering Person Registration</t>
  </si>
  <si>
    <t xml:space="preserve">
This represents the person registration to which a person is a registrant.
    </t>
  </si>
  <si>
    <t>Person Detail</t>
  </si>
  <si>
    <t xml:space="preserve">
This concept is a generalizing concept providing further details about a person.
Some details regarding a party are not likely to be necessary to perform basic processes about parties. As such, they have been separated from basic party information and identified as details.
    </t>
  </si>
  <si>
    <t>Person Legal Capacity</t>
  </si>
  <si>
    <t xml:space="preserve">
The capacity of both natural and legal persons determines whether they may make binding amendments to their rights, duties and obligations, such as getting married or merging, entering into contracts, making gifts, or writing a valid will. Capacity is an aspect of status and both are defined by a person's personal law.
    </t>
  </si>
  <si>
    <t>Person Legal Capacity  Legal Capacity</t>
  </si>
  <si>
    <t xml:space="preserve">
A person's legal capacity (e.g. infancy, minor, incapacitated, etc.). This is not necessarily specific or limited to a person's age.
    </t>
  </si>
  <si>
    <t>Person Name</t>
  </si>
  <si>
    <t xml:space="preserve">
This concept represents a person's name.
    </t>
  </si>
  <si>
    <t>Person Name  Given Name</t>
  </si>
  <si>
    <t xml:space="preserve">
The name given to an individual which does not denote his/her family, tribal or geographic antecedents. It may be represented via one or more words, which collectively represent the given name.
Examples:
The name: William Shakespeare
"William" is the given name, also known as "first name" in some locales.
"Shakespeare" is the surname, also known as "last name" in some locales.
The name: Mary Beth Doe
"Mary Beth" is the given name.
"Doe" is the surname.
    </t>
  </si>
  <si>
    <t>Person Name  Middle Name</t>
  </si>
  <si>
    <t xml:space="preserve">
The name given to an individual which does not denote his/her family, tribal or geographic antecedents, and is not the person's given name (e.g. first name). This is known as middle name in various locales. It may be represented via one or more words, which collectively represent the middle name.
Examples:
The name: Juan Manuel Fangio
"Juan" is the given name, also known as "first name" in some locales.
"Manuel" is the middle name, also known as other given name in some locales.
"Fangio" is the surname, also known as "last name" in some locales.
The name: George Herbert Walker Bush
"George" is the given name.
"Herbert Walker" is the middle name.
"Bush" is the surname.
    </t>
  </si>
  <si>
    <t>Person Name  Prefix Title Code</t>
  </si>
  <si>
    <t xml:space="preserve">
The honorifics or titles that precede a person's name when addressing a person in polite, somewhat formal circumstances.
e.g. Dr., Ms., Miss, Mr., Mrs., etc.
    </t>
  </si>
  <si>
    <t>Person Name  Suffix</t>
  </si>
  <si>
    <t xml:space="preserve">
A suffix following the person's name, if applicable. This may be whatever it needs to be, including text such as "Jr.", or "III", as well as text depicting professional designations, such as "MD", "CPCU", "CLU".
Example:
The name: William Shakespeare III, CPCU
"William" is the given name.
"Shakespeare" is the surname.
"III, CPCU" is the suffix.
    </t>
  </si>
  <si>
    <t>Person Name  Surname</t>
  </si>
  <si>
    <t xml:space="preserve">
The name or compound name used by an individual to denote his/her familial, tribal or geographic antecedents. It may be represented via one or more words, which collectively represent the surname.
Examples
The name: William Shakespeare
"William" is the given name, also known as first name in some locales.
"Shakespeare" is the surname, also known as a family name or individual's "last name" in some locales.
The name: Elio de Angelis
"Elio" is the given name.
"de Angelis" is the surname.
    </t>
  </si>
  <si>
    <t>Person Name  Usage Code</t>
  </si>
  <si>
    <t xml:space="preserve">
A code indicating the use of the person's name.
    </t>
  </si>
  <si>
    <t>Person Registration</t>
  </si>
  <si>
    <t xml:space="preserve">
A set of registrations covering all nationality-dependent registrations such as social security, taxes, passport, identity card. This concept provides a means of recording identifications of persons that relate to official identification (example : documents such as passport ids, driving licenses ids, national identities, etc ...).
    </t>
  </si>
  <si>
    <t>Person Registration  Registrant</t>
  </si>
  <si>
    <t xml:space="preserve">
This represents the registrant (registered person) of a person registration.
    </t>
  </si>
  <si>
    <t>Personal Activity License</t>
  </si>
  <si>
    <t xml:space="preserve">
A license to perform a particular activity either as a hobby or as an occupation.
    </t>
  </si>
  <si>
    <t>Personal Activity License  Competition License Indicator</t>
  </si>
  <si>
    <t xml:space="preserve">
Indicates whether this activity license allows the holder of the license to take part in competition for this activity.
    </t>
  </si>
  <si>
    <t>Personal Activity License  Name</t>
  </si>
  <si>
    <t xml:space="preserve">
The formal name of the activity license.
    </t>
  </si>
  <si>
    <t>Personal Activity License  Renewal Intention Indicator</t>
  </si>
  <si>
    <t xml:space="preserve">
Indicates whether the holder of this activity license intents to renew his license when it expires.
    </t>
  </si>
  <si>
    <t>Personal Activity License  Required Instruction Duration</t>
  </si>
  <si>
    <t xml:space="preserve">
Amount of instruction time that is required before one is allowed to perform this activity without instructor supervision.
    </t>
  </si>
  <si>
    <t>Personal Event</t>
  </si>
  <si>
    <t xml:space="preserve">
This represents a significant upcoming event in the life of a person that is of interest. Some examples include marriage, moving, changing job, birth of child, and divorce.
    </t>
  </si>
  <si>
    <t>Personal Event  Type Code</t>
  </si>
  <si>
    <t xml:space="preserve">
A code indicating the type of personal event (e.g. birth, death, etc.).
    </t>
  </si>
  <si>
    <t>PhD</t>
  </si>
  <si>
    <t xml:space="preserve">
Doctor of Philosophy (PhD)
    </t>
  </si>
  <si>
    <t>Physical Object</t>
  </si>
  <si>
    <t xml:space="preserve">
This concept defines the physical object. It generalizes all physical assets likely to be involved in an insurance process.
    </t>
  </si>
  <si>
    <t>Physical Object  Actual Dimension</t>
  </si>
  <si>
    <t xml:space="preserve">
This represents the actual physical dimension (e.g. proportion, size) of a physical object (e.g. the height of an antenna tower is 100 feet, the volume of a storage tank is 500 gallons, etc.).
    </t>
  </si>
  <si>
    <t>Physical Object  Description</t>
  </si>
  <si>
    <t xml:space="preserve">
Describes the Insurable Object
    </t>
  </si>
  <si>
    <t>Physical Object  Identifier</t>
  </si>
  <si>
    <t xml:space="preserve">
This represents the identifier assigned to a physical object identification purposes.
    </t>
  </si>
  <si>
    <t>Physical Object  Registering Physical Object Registration</t>
  </si>
  <si>
    <t xml:space="preserve">
This represents a physical object registration (e.g. a registration applicable to a particular structure, vehicle, etc.).
    </t>
  </si>
  <si>
    <t>Physical Object Asset</t>
  </si>
  <si>
    <t xml:space="preserve">
A financial asset defined by the value of a physical object. This includes financial assets such as works of art, real estate, and any type of physical object that can be traded. It is through this construct that a fund can invest into physical objects. 
e.g: The famous traditional-style Hotel Scribe building in Paris. 
e.g: Woman with a broken nose from Pablo Picasso.
    </t>
  </si>
  <si>
    <t>Physical Object Asset  Owned Percentage</t>
  </si>
  <si>
    <t xml:space="preserve">
The part of the value of the physical object, expressed as a percentage of the value, that is allocated to the marketable object. 
e.g: A marketable object of 30% of the value of a building in a real estate investment.
    </t>
  </si>
  <si>
    <t>Physical Object Asset  Specified Physical Object</t>
  </si>
  <si>
    <t xml:space="preserve">
This represents the physical object specified by a physical object asset.
    </t>
  </si>
  <si>
    <t>Physical Object Group</t>
  </si>
  <si>
    <t xml:space="preserve">
A grouping of physical objects with similar or common characteristics.   These are typically not scheduled as an insurable entity.
    </t>
  </si>
  <si>
    <t>Physical Object Group  Group Count</t>
  </si>
  <si>
    <t xml:space="preserve">
The actual number of physical objects being in this object group. 
e.g: 12 smoke detectors installed in a house. 
e.g: 500 pallets (object groups) of 40 DVD recorders (manufactured items) each, as the general cargo conveyed by a ship. 
e.g: A car fleet of 150 vehicles.
    </t>
  </si>
  <si>
    <t>Physical Object Proximity</t>
  </si>
  <si>
    <t xml:space="preserve">
Proximity describes the physical relation of one physical object to another physical object.
    </t>
  </si>
  <si>
    <t>Physical Object Proximity  From Physical Object</t>
  </si>
  <si>
    <t xml:space="preserve">
When considering the proximity of one physical object with another physical object, this is the originating physical object.
e.g. When considering the proximity of the dwelling (e.g. "physical object") to the storage tank (e.g. physical object), the dwelling is the originating physical object or "from physical object" and the storage tank is the "to physical object".
    </t>
  </si>
  <si>
    <t>Physical Object Proximity  To Physical Object</t>
  </si>
  <si>
    <t xml:space="preserve">
When considering the proximity of one physical object with another physical object, this is the "to" physical object.
e.g. When considering the proximity of the dwelling (e.g. "physical object") to the storage tank (e.g. physical object), the dwelling is the originating physical object or "from physical object" and the storage tank is the "to physical object".
    </t>
  </si>
  <si>
    <t>Physical Object Registration</t>
  </si>
  <si>
    <t xml:space="preserve">
This is the super type for all physical object registrations.
    </t>
  </si>
  <si>
    <t>Physical Object Registration  Registered Physical Object</t>
  </si>
  <si>
    <t xml:space="preserve">
This represents the registered physical object (e.g. the structure or vehicle to which a registration applies).
    </t>
  </si>
  <si>
    <t>Physical Object Role</t>
  </si>
  <si>
    <t xml:space="preserve">
This concept is the generalizing concept of all types of physical object roles.
    </t>
  </si>
  <si>
    <t>Physical Object Role  Player Physical Object</t>
  </si>
  <si>
    <t xml:space="preserve">
This represents the physical object playing a role.
    </t>
  </si>
  <si>
    <t>Physical Object Role In Agreement</t>
  </si>
  <si>
    <t xml:space="preserve">
This concept represents a physical object role with regards to an agreement.
    </t>
  </si>
  <si>
    <t>Physical Object Role On Place</t>
  </si>
  <si>
    <t xml:space="preserve">
This concept represents a physical object role with regards to a place.
    </t>
  </si>
  <si>
    <t>Physical Object Role On Place  Place</t>
  </si>
  <si>
    <t xml:space="preserve">
This represents the geographic place associated with a physical object role with a place.
    </t>
  </si>
  <si>
    <t>Physical Object Score</t>
  </si>
  <si>
    <t xml:space="preserve">
This represents the assessment result/score of a physical object.
    </t>
  </si>
  <si>
    <t>Physical Object Score  Antique Indicator</t>
  </si>
  <si>
    <t xml:space="preserve">
This indicates the object is considered an antique.
    </t>
  </si>
  <si>
    <t>Physical Object Score  Classic Indicator</t>
  </si>
  <si>
    <t xml:space="preserve">
Indicates whether the physical object is considered/classified as classic.
    </t>
  </si>
  <si>
    <t>Physical Object Score  High Theft Indicator</t>
  </si>
  <si>
    <t xml:space="preserve">
This indicates the object is considered "high theft".
    </t>
  </si>
  <si>
    <t>Physical Object Storage</t>
  </si>
  <si>
    <t xml:space="preserve">
The activity of storing an object or objects for a period of time.
e.g. A boat may be stored for the winter season while not in use.
e.g. Joe's household content is stored in a warehouse due to the fire damage that makes his house temporarily inhabitable.
e.g. Storage in a garage of a damaged car after accident, while waiting for further investigation on the damage.
    </t>
  </si>
  <si>
    <t>Physical Object User</t>
  </si>
  <si>
    <t xml:space="preserve">
This concept represents a party's role as the user of a physical object.
    </t>
  </si>
  <si>
    <t>Physician</t>
  </si>
  <si>
    <t xml:space="preserve">
This concept represents a person's role when engaged in general medical practice.
    </t>
  </si>
  <si>
    <t>PIA</t>
  </si>
  <si>
    <t xml:space="preserve">
Professional Insurance Agents
    </t>
  </si>
  <si>
    <t>Piece Of Art</t>
  </si>
  <si>
    <t xml:space="preserve">
This concept represents a piece of art.
    </t>
  </si>
  <si>
    <t>Piece Of Art  Name</t>
  </si>
  <si>
    <t xml:space="preserve">
A piece of art could be named as part of the unique identity of item.
    </t>
  </si>
  <si>
    <t>Piece Of Jewelry</t>
  </si>
  <si>
    <t xml:space="preserve">
This concept represents a piece of jewelry or even just a jewel.
    </t>
  </si>
  <si>
    <t>Pilot</t>
  </si>
  <si>
    <t xml:space="preserve">
This concept describes a set of information needed to define the profile of a pilot.
    </t>
  </si>
  <si>
    <t>Pilot  Claim Count</t>
  </si>
  <si>
    <t xml:space="preserve">
Insured pilot's total claims count.
    </t>
  </si>
  <si>
    <t>Pilot  Flight Measurement Duration</t>
  </si>
  <si>
    <t xml:space="preserve">
Time period to be used to calculate Insured pilot's total flight time.
e.g.  6 months,  1 year
    </t>
  </si>
  <si>
    <t>Pilot  Flight Time Duration</t>
  </si>
  <si>
    <t xml:space="preserve">
The total duration of flight time the for Insured pilot during the flightMeasurementDuration.
    </t>
  </si>
  <si>
    <t>Pilot  Helicopter Other Flight Duration</t>
  </si>
  <si>
    <t xml:space="preserve">
Insured pilot's total flight time on other categories of helicopters.
    </t>
  </si>
  <si>
    <t>Pilot  Helicopter Piston Flight Duration</t>
  </si>
  <si>
    <t xml:space="preserve">
Insured pilot's total  flight time on helicopters with piston engine.
    </t>
  </si>
  <si>
    <t>Pilot  Helicopter Turbine Flight Duration</t>
  </si>
  <si>
    <t xml:space="preserve">
Insured pilot's total flight time on turbine helicopters.
    </t>
  </si>
  <si>
    <t>Pilot  Insured Duration</t>
  </si>
  <si>
    <t xml:space="preserve">
Measured time for which the pilot has been insured. 
Ex: 8 months, 3 years, etc
    </t>
  </si>
  <si>
    <t>Pilot  Plane Jet Flight Duration</t>
  </si>
  <si>
    <t xml:space="preserve">
Insured pilot's total flight time on jets.
    </t>
  </si>
  <si>
    <t>Pilot  Plane Other Flight Duration</t>
  </si>
  <si>
    <t xml:space="preserve">
Insured pilot's total flight time on other categories of planes.
    </t>
  </si>
  <si>
    <t>Pilot  Plane Piston Flight Duration</t>
  </si>
  <si>
    <t xml:space="preserve">
Insured pilot's total flight time on planes with piston engine.
    </t>
  </si>
  <si>
    <t>Pilot  Plane Turboprop Flight Duration</t>
  </si>
  <si>
    <t xml:space="preserve">
Insured pilot's total flight time on turboprops.
    </t>
  </si>
  <si>
    <t>Pilot  Total Flight Duration</t>
  </si>
  <si>
    <t xml:space="preserve">
Insured pilot's total flight time.
    </t>
  </si>
  <si>
    <t>Pilot  Total Helicopter Flight Duration</t>
  </si>
  <si>
    <t xml:space="preserve">
Insured pilot's total flight time on helicopters.
    </t>
  </si>
  <si>
    <t>Pilot  Total Hot Air Balloon Flight Duration</t>
  </si>
  <si>
    <t xml:space="preserve">
Insured pilot's total flight time on hot air balloons.
    </t>
  </si>
  <si>
    <t>Pilot  Total Plane Duration</t>
  </si>
  <si>
    <t xml:space="preserve">
Insured pilot's total flight time on planes.
    </t>
  </si>
  <si>
    <t>Pilot Log</t>
  </si>
  <si>
    <t xml:space="preserve">
This concept represents a set of information needed to depict a pilot log.
    </t>
  </si>
  <si>
    <t>Pilot Log  Flight Duration</t>
  </si>
  <si>
    <t xml:space="preserve">
The time period used to calculate a pilot's total flight time.
e.g.  6 months, 1 year, 2 years, etc.
    </t>
  </si>
  <si>
    <t>Pilot Log  Identified Pilot</t>
  </si>
  <si>
    <t xml:space="preserve">
This represents the pilot associated with the pilot log.
    </t>
  </si>
  <si>
    <t>Pilot Log  Total Flight Duration</t>
  </si>
  <si>
    <t xml:space="preserve">
A pilot's total flight time during the flightPeriodDuration.
e.g. 180 hours
    </t>
  </si>
  <si>
    <t>Pilot Log Type Code</t>
  </si>
  <si>
    <t xml:space="preserve">
A code indicating a type of pilot log.
    </t>
  </si>
  <si>
    <t>PIN</t>
  </si>
  <si>
    <t xml:space="preserve">
Personal Identification Number (PIN)
    </t>
  </si>
  <si>
    <t>PIP</t>
  </si>
  <si>
    <t xml:space="preserve">
Personal Injury Protection (PIP)
    </t>
  </si>
  <si>
    <t>Piston Engine</t>
  </si>
  <si>
    <t xml:space="preserve">
A piston engine, also known as a reciprocating engine, is a heat engine (usually, although there are also pneumatic and hydraulic reciprocating engines) that uses one or more reciprocating pistons to convert pressure into a rotating motion.
    </t>
  </si>
  <si>
    <t>Piston Engine Specification</t>
  </si>
  <si>
    <t xml:space="preserve">
This represents the specification for a piston engine.
    </t>
  </si>
  <si>
    <t>Piston Engine Specification  Cylinder Count</t>
  </si>
  <si>
    <t xml:space="preserve">
This represents the number of cylinders in the engine for this make and model.
    </t>
  </si>
  <si>
    <t>Place</t>
  </si>
  <si>
    <t xml:space="preserve">
A bounded area defined by nature, by one or a series of country elements, by an external authority (such as a government), used to identify a location in space; for example, country, city, continent, postal area or risk area.
e.g. land parcel 5, section 12, lot 3
e.g. coastal waters
e.g. Hawthorne, NY Postal area, ZIP code 10532
e.g. Hurricane risk area
e.g. Manhattan, New York
    </t>
  </si>
  <si>
    <t>Place  Abbreviation</t>
  </si>
  <si>
    <t xml:space="preserve">
The standard abbreviation or code for the geographic area. 
e.g: NY
    </t>
  </si>
  <si>
    <t>Place  Available Period</t>
  </si>
  <si>
    <t xml:space="preserve">
The time period at which the place is available for use.
    </t>
  </si>
  <si>
    <t>Place  Description</t>
  </si>
  <si>
    <t xml:space="preserve">
A textual statement used to help identify a place. 
e.g: Belgium is a small country located on the European coast of the North Sea, bordered by the Netherlands, Germany, France and Luxembourg.
    </t>
  </si>
  <si>
    <t>Place  Identifying Address</t>
  </si>
  <si>
    <t xml:space="preserve">
This represents the address that identifies a geographic place.
    </t>
  </si>
  <si>
    <t>Place  Name</t>
  </si>
  <si>
    <t xml:space="preserve">
General name given to the location in space (Place).
    </t>
  </si>
  <si>
    <t>Place  Surface Area Measurement</t>
  </si>
  <si>
    <t xml:space="preserve">
The measurement of the area of this place.
e.g. 400 square kilometers
    </t>
  </si>
  <si>
    <t>Place Address</t>
  </si>
  <si>
    <t xml:space="preserve">
This concept represents a type of identification or name used to locate a Place.
    </t>
  </si>
  <si>
    <t>Place Address  Identified Place</t>
  </si>
  <si>
    <t xml:space="preserve">
This is the geographic place identified by the "place address".
    </t>
  </si>
  <si>
    <t>Place Address  Unstructured Address</t>
  </si>
  <si>
    <t xml:space="preserve">
Free text description of the address (e.g. place descriptor).
For example, this could represent a full postal address as utilized for a mailing/shipping label.
    </t>
  </si>
  <si>
    <t>Place Proximity</t>
  </si>
  <si>
    <t xml:space="preserve">
Proximity describes the geographical relation of one place to another place.
    </t>
  </si>
  <si>
    <t>Place Proximity  Description</t>
  </si>
  <si>
    <t xml:space="preserve">
A text description of the proximity between two places.
    </t>
  </si>
  <si>
    <t>Place Proximity  Distance</t>
  </si>
  <si>
    <t xml:space="preserve">
This represents the distance between two places (e.g. 60 miles, 100 kilometers, etc.).
    </t>
  </si>
  <si>
    <t>Place Proximity  From Place</t>
  </si>
  <si>
    <t xml:space="preserve">
When considering the proximity of one geographic place with another place, this is the originating place.
e.g. When considering the proximity of the city (e.g. "place") "Paris" to the country "France", the city is the originating place or "from place" and the country is the "to place".
    </t>
  </si>
  <si>
    <t>Place Proximity  To Place</t>
  </si>
  <si>
    <t xml:space="preserve">
When considering the proximity of one geographic place with another place, this is the "to" place.
e.g. When considering the proximity of the city (e.g. "place") "Paris" to the country "France", the city is the originating place or "from place" and the country is the "to place".
    </t>
  </si>
  <si>
    <t>Place Proximity  Type Code</t>
  </si>
  <si>
    <t xml:space="preserve">
A code indicating the nature of the proximity between two places.
    </t>
  </si>
  <si>
    <t>Place Risk Score</t>
  </si>
  <si>
    <t xml:space="preserve">
Assessment results from an assessment of specific risks for a place. 
Note: The link to place is supported by the relationship place assessment.
    </t>
  </si>
  <si>
    <t>Place Risk Score  Predicted Loss Event</t>
  </si>
  <si>
    <t xml:space="preserve">
This represents a loss event as related to a place risk score in support of the probability (prediction) for a loss event to occur at a given place.
    </t>
  </si>
  <si>
    <t>Placed Insurance</t>
  </si>
  <si>
    <t xml:space="preserve">
An application for coverage that has been signed by the prospective insured, the medical examination has been completed, the initial premium payment has been tendered, and the policy has been delivered.
    </t>
  </si>
  <si>
    <t>Placement Document</t>
  </si>
  <si>
    <t xml:space="preserve">
A document used in the placement process (e.g. quote, new business, etc.) such as an application for insurance and any related supplements. In some locales/markets this is also known as a "supporting document".
    </t>
  </si>
  <si>
    <t>Placing Broker</t>
  </si>
  <si>
    <t xml:space="preserve">
The broker that is responsible for presenting an insurance business transaction to the (re)insurance market for underwriting consideration.
    </t>
  </si>
  <si>
    <t>Placing Exchange</t>
  </si>
  <si>
    <t xml:space="preserve">
A forum in which (re)insured or brokers can select (re)insurers, allocate shares and request for quotations and deals from each of their selected (re)insurers. (Re)insurers in return can submit quotes and counter-offer quotes.
    </t>
  </si>
  <si>
    <t>Plaintiff</t>
  </si>
  <si>
    <t xml:space="preserve">
A party who asserts a claim against another party in a specific legal action.
    </t>
  </si>
  <si>
    <t>PLANS</t>
  </si>
  <si>
    <t xml:space="preserve">
Property Liability Association for New Systems (PLANS)
    </t>
  </si>
  <si>
    <t>Plant</t>
  </si>
  <si>
    <t xml:space="preserve">
This concept represents a plant.
    </t>
  </si>
  <si>
    <t>Plant Life</t>
  </si>
  <si>
    <t xml:space="preserve">
Nurseries often need the ability to insure individual plants, trees or shrubs or groups of plants, trees or shrubs that are of significant worth.
    </t>
  </si>
  <si>
    <t>Plumbing</t>
  </si>
  <si>
    <t xml:space="preserve">
This represents various aspects about the plumbing of a structure.
    </t>
  </si>
  <si>
    <t>Plumbing  Material Code</t>
  </si>
  <si>
    <t xml:space="preserve">
This represents the type of material used in the plumbing of a structure.
    </t>
  </si>
  <si>
    <t>PML</t>
  </si>
  <si>
    <t xml:space="preserve">
Probable Maximum Loss (PML)
    </t>
  </si>
  <si>
    <t>Point Account</t>
  </si>
  <si>
    <t xml:space="preserve">
An account expressed in terms of points (units). It allows to group records of derived financial items such as pension rights expressed in points. 
e.g: The pension rights accumulation account of John, grouping all the rights John has earned in his career both by professional activities and equivalents.
    </t>
  </si>
  <si>
    <t>Point Account  Balance</t>
  </si>
  <si>
    <t xml:space="preserve">
This represents the balance of points associated with this account.
    </t>
  </si>
  <si>
    <t>Point Entry Detail</t>
  </si>
  <si>
    <t xml:space="preserve">
For accounts that use points as the measure of quantity (i.e., PointAccount), the PointEntryDetails enables tracking of movement in the account.
    </t>
  </si>
  <si>
    <t>Point Entry Detail  Duration</t>
  </si>
  <si>
    <t xml:space="preserve">
The quantity as a duration  recorded in the time entry detail. 
e.g: A credit of 4 years and 6 months employment at a company. 
The "54 months"  is the measurement 
e.g: A credit of 5 months from long term illness. 
e.g: A credit of 8 months serving civil duty in the Dutch army.
    </t>
  </si>
  <si>
    <t>Policy Reserve</t>
  </si>
  <si>
    <t xml:space="preserve">
For an insurer, a liability amount that, together with future premiums and investment income, the insurer estimates it will need to pay contractual benefits as they come due under in-force policies. contract reserves represent the insurer?s obligations to customers.
    </t>
  </si>
  <si>
    <t>Population Category</t>
  </si>
  <si>
    <t xml:space="preserve">
This concept states a group of persons, in case there is a need to define a population itself.
Use PopulationProfile to define an insured population and qualify its profile (see PopulationProfile).
    </t>
  </si>
  <si>
    <t>Population Category  Citizenship</t>
  </si>
  <si>
    <t xml:space="preserve">
This represents the country of citizenship for a population categorization.
    </t>
  </si>
  <si>
    <t>Population Category  Population Nature</t>
  </si>
  <si>
    <t xml:space="preserve">
This enables to define a codification for the population category.
e.g. socio-professional, geographic, national, etc.
    </t>
  </si>
  <si>
    <t>Porch</t>
  </si>
  <si>
    <t xml:space="preserve">
This represents various aspects about the porch of a structure.
    </t>
  </si>
  <si>
    <t>Porch  Type Code</t>
  </si>
  <si>
    <t xml:space="preserve">
A code indicating the type of porch(es).
    </t>
  </si>
  <si>
    <t>Portfolio Transfer</t>
  </si>
  <si>
    <t xml:space="preserve">
Transfer of book of business between different organizations. It can include the transfer of both the premium and loss portfolio.
    </t>
  </si>
  <si>
    <t>Possible Answer</t>
  </si>
  <si>
    <t xml:space="preserve">
The identification of a possible predefined answer to a question template in the case of a multiple choice question.
    </t>
  </si>
  <si>
    <t>Possible Answer  Identified Predefined Answer</t>
  </si>
  <si>
    <t xml:space="preserve">
This represents a predefined answer associated with a possible answer.
    </t>
  </si>
  <si>
    <t>Possible Answer  Sequence Number</t>
  </si>
  <si>
    <t xml:space="preserve">
The indication of the logical position of this predefined answer within the list of possible answers for a given question template.
    </t>
  </si>
  <si>
    <t>Post Code</t>
  </si>
  <si>
    <t xml:space="preserve">
A postal code (known in various countries as a post code, postcode, or ZIP code) is a series of letters and/or digits appended to a postal address for the purpose of sorting mail.
    </t>
  </si>
  <si>
    <t>Post Code  Assigned Code</t>
  </si>
  <si>
    <t xml:space="preserve">
Value of the post code.
    </t>
  </si>
  <si>
    <t>Post Code  Assigned Code Extension</t>
  </si>
  <si>
    <t xml:space="preserve">
Value of the postCode extension.
    </t>
  </si>
  <si>
    <t>Post Code  Sub System Type Code</t>
  </si>
  <si>
    <t xml:space="preserve">
Indicates the type of postal sub-system (if applicable).
e.g. CEDEX in France
    </t>
  </si>
  <si>
    <t>Postal Address</t>
  </si>
  <si>
    <t xml:space="preserve">
This concept represents the components unique to the postal address as a place. A postal address is utilized for the delivery of letters or packages by an external mailing or packaging service, at a place where the recipient can be located. Note that the exact structure of a postal address is likely to change depending on the country of the postal address. 
NOTE: A postal address can be associated with other portions of a place (e.g. city, state, etc.) as well as a street address (number, name, etc.) in order to comprise an adequately complete address for delivery use (e.g.: 30 Saw Mill River Road, Hawthorne, NY 10532, USA).
    </t>
  </si>
  <si>
    <t>Postal Address  Address Lines</t>
  </si>
  <si>
    <t xml:space="preserve">
The lines of the formatted address. This may be derived using other elements of the PostalAddress. In fact, such derivation is probably preferred.
    </t>
  </si>
  <si>
    <t>Postal Address  Box Number</t>
  </si>
  <si>
    <t xml:space="preserve">
The mail receptacle located at a public post office or other postal service provider.
    </t>
  </si>
  <si>
    <t>Postal Address  Building Name</t>
  </si>
  <si>
    <t xml:space="preserve">
The name of the building.
e.g: Sydney Opera House
    </t>
  </si>
  <si>
    <t>Postal Address  Carrier Route</t>
  </si>
  <si>
    <t xml:space="preserve">
A postal carrier route is the group of addresses assigned the same code to aid in mail delivery. This is not synonymous with a zip or postal code.
    </t>
  </si>
  <si>
    <t>Postal Address  Floor Number</t>
  </si>
  <si>
    <t xml:space="preserve">
The floor number.
    </t>
  </si>
  <si>
    <t>Postal Address  Included Street Address</t>
  </si>
  <si>
    <t xml:space="preserve">
This represents the street address associated with a postal address - for use when the postal address includes some portion (or all) of a street address (e.g. 123 Maple Street).
    </t>
  </si>
  <si>
    <t>Postal Address  Postal Barcode</t>
  </si>
  <si>
    <t xml:space="preserve">
The representation of this address as a bar code that can be printed on mail.  Some mail operators offer discount on bulk mail if a valid barcode has been printed by the sender.
    </t>
  </si>
  <si>
    <t>Postal Address  Postal Country</t>
  </si>
  <si>
    <t xml:space="preserve">
This represents the country for use with a postal address.
    </t>
  </si>
  <si>
    <t>Postal Address  Postal Country Subdivision</t>
  </si>
  <si>
    <t xml:space="preserve">
This represents the country subdivision (e.g. state, province, etc.) for use with a postal address.
    </t>
  </si>
  <si>
    <t>Postal Address  Postal Municipality</t>
  </si>
  <si>
    <t xml:space="preserve">
This represents the municipality (e.g. city, town, village, etc.) for use with a postal address.
    </t>
  </si>
  <si>
    <t>Postal Address  Postal Post Code</t>
  </si>
  <si>
    <t xml:space="preserve">
This represents the post code (e.g. zip code) for use with a postal address.
    </t>
  </si>
  <si>
    <t>Postal Address  Unit Number</t>
  </si>
  <si>
    <t xml:space="preserve">
The numeric portion or alphanumeric label that identifies a unit within a building. 
e.g: 14 (as in Apartment 14, Bath Road)
    </t>
  </si>
  <si>
    <t>Postal Mail Contact</t>
  </si>
  <si>
    <t xml:space="preserve">
This concept represents a contact utilized for delivery of traditional physical mail.
    </t>
  </si>
  <si>
    <t>Postal Mail Contact  Delivery Address</t>
  </si>
  <si>
    <t xml:space="preserve">
This represents the delivery address (e.g. postal address) for postal mailing purposes.
    </t>
  </si>
  <si>
    <t>PPC</t>
  </si>
  <si>
    <t xml:space="preserve">
Powered Parachute (PPC)
    </t>
  </si>
  <si>
    <t>PPL</t>
  </si>
  <si>
    <t xml:space="preserve">
Placing Platform Limited (PPL)
    </t>
  </si>
  <si>
    <t>Pre-Authorization</t>
  </si>
  <si>
    <t xml:space="preserve">
Authorization given by an insurance company to an insured to receive specific services or goods covered in his contract, when this authorization is required in the product rules. Usually, an insurance company will reduce the level of benefit granted when pre-authorization is required and has not been requested. Example: MIA Insurance Company authorizes John Doe's orthodontics treatment planned from September 1, 2002 to August 31, 2003.
    </t>
  </si>
  <si>
    <t>Pre-Certification</t>
  </si>
  <si>
    <t xml:space="preserve">
Pre-authorization in case of hospital confinement.
    </t>
  </si>
  <si>
    <t>Pre-Existing Condition</t>
  </si>
  <si>
    <t xml:space="preserve">
Health condition for which the insured received medical treatment or which he was aware of, before the start of the contract.
    </t>
  </si>
  <si>
    <t>Precautionary Advice</t>
  </si>
  <si>
    <t xml:space="preserve">
Claim advice provided on a precautionary basis to the (re)insurer to comply with the contract conditions stipulating that claims above a given limit must be advised even if they do not result in any immediate liability to the (re)insurer.
    </t>
  </si>
  <si>
    <t>Precious Metal</t>
  </si>
  <si>
    <t xml:space="preserve">
Represents precious metal.
e.g: Gold, Silver, Copper
    </t>
  </si>
  <si>
    <t>Predefined Answer</t>
  </si>
  <si>
    <t xml:space="preserve">
The definition of a possible or selected choice in a multiple choice question. 
e.g: Application submitted. 
e.g: Not at all. 
e.g: Phone
    </t>
  </si>
  <si>
    <t>Predefined Answer  Corresponding Question Template</t>
  </si>
  <si>
    <t xml:space="preserve">
This represents the question for which there is a default predefined default answer.
    </t>
  </si>
  <si>
    <t>Preferred Pharmacy</t>
  </si>
  <si>
    <t xml:space="preserve">
A provider of pharmaceutical goods and services with whom the insurer has negotiated lower prices.
    </t>
  </si>
  <si>
    <t>Preferred Provider</t>
  </si>
  <si>
    <t xml:space="preserve">
A provider of goods and services with whom an individual or organization has negotiated preferred terms and conditions for items such as glass repairs, medical network.
    </t>
  </si>
  <si>
    <t>Preliminary Rating</t>
  </si>
  <si>
    <t xml:space="preserve">
A tentative rate or premium that is subject to subsequent adjustment.
    </t>
  </si>
  <si>
    <t>Preliminary Rating Factor</t>
  </si>
  <si>
    <t xml:space="preserve">
A temporary experience modification factor that is issued to an insured until such time that the rates are approved in a given state.
    </t>
  </si>
  <si>
    <t>Premium</t>
  </si>
  <si>
    <t xml:space="preserve">
The price for coverage, benefit, and the like described in the agreement or agreement component, and typically associated with a specific period of time.
For example, an insurance policy premium is the price for coverage of a particular risk or set of risks described in the agreement, during a specific period of time.
    </t>
  </si>
  <si>
    <t>Premium Advice Note</t>
  </si>
  <si>
    <t xml:space="preserve">
A notification sent to an insurer or a policy signing office by an insurance broker when the broker's client is debited with the premium or credited with a return premium.
    </t>
  </si>
  <si>
    <t>Premium Audit</t>
  </si>
  <si>
    <t xml:space="preserve">
An audit of the exposure basis for an insurance policy (i.e., payroll, sales, or vehicle count) after the end of a policy period to determine the actual (audited) exposure for the purpose of making a final calculation of the premium and premium taxes.
    </t>
  </si>
  <si>
    <t>Premium Basis</t>
  </si>
  <si>
    <t>Premium Bill</t>
  </si>
  <si>
    <t xml:space="preserve">
This concept represents the bill of an insurance agreement premium.
    </t>
  </si>
  <si>
    <t>Premium Calculation Method</t>
  </si>
  <si>
    <t xml:space="preserve">
Rules as to how various regulatory defined premiums are to be calculated, based on IRS Guidelines. Some types of premiums subject to these rules include: 7-Pay Premiums, guideline annual premiums, guideline single premiums, etc.
    </t>
  </si>
  <si>
    <t>Premium Call Form</t>
  </si>
  <si>
    <t xml:space="preserve">
This document stands for the agreement premium call form sent by the insurance company to its policy holder (a company or a person)
    </t>
  </si>
  <si>
    <t>Premium Collector</t>
  </si>
  <si>
    <t xml:space="preserve">
A servicing role whereby the party is responsible for collecting the premiums. 
e.g: Jim Jones, as servicing agent in the term life insurance policy of Grace Cruise. Jim is in charge of collecting the premiums due on Grace's policy.
    </t>
  </si>
  <si>
    <t>Premium Deposit Fund</t>
  </si>
  <si>
    <t xml:space="preserve">
A reserve (generally interest bearing) held for future contractual obligations.
    </t>
  </si>
  <si>
    <t>Premium Discount</t>
  </si>
  <si>
    <t xml:space="preserve">
A percentage reduction based on the size of the premium, due to the cost of issuing and servicing decreasing as the premium increases.
    </t>
  </si>
  <si>
    <t>Premium Factor</t>
  </si>
  <si>
    <t xml:space="preserve">
This concept represents an adjustment to the agreement in the form of a discount or surcharge. Application of the factor will result in a modification to the insurance premium.
    </t>
  </si>
  <si>
    <t>Premium Factor Specification  Category Code</t>
  </si>
  <si>
    <t xml:space="preserve">
A code that categorizes the premium factor (e.g. discount, surcharge).
    </t>
  </si>
  <si>
    <t>Premium Factor Specification  Type Code</t>
  </si>
  <si>
    <t xml:space="preserve">
A code identifying a type of premium factor. Refer to related code list.
    </t>
  </si>
  <si>
    <t>Premium Portfolio</t>
  </si>
  <si>
    <t xml:space="preserve">
A defined body of insurance contracts in force.
    </t>
  </si>
  <si>
    <t>Premium Provision Specification  Type Code</t>
  </si>
  <si>
    <t xml:space="preserve">
A code indicating the type of premium.
    </t>
  </si>
  <si>
    <t>Premium Rate</t>
  </si>
  <si>
    <t xml:space="preserve">
A life insurance contract with large premium payments in its initial years that are used to quickly build up cash value. After an adequate cash value is accumulated, remaining premium payments are made by borrowing against the cash value.
    </t>
  </si>
  <si>
    <t>Premium Receipt</t>
  </si>
  <si>
    <t xml:space="preserve">
This document stands for the receipt sent by the insurance company to the policy holder once a premium is paid.
    </t>
  </si>
  <si>
    <t>Premium Transfer Provision</t>
  </si>
  <si>
    <t xml:space="preserve">
Text giving details of circumstances under which premium will be transferred between years of account for long-term contracts.
    </t>
  </si>
  <si>
    <t>Premium Waiver Request</t>
  </si>
  <si>
    <t xml:space="preserve">
This concept states a request for a waiver of premium.
    </t>
  </si>
  <si>
    <t>Premium Waiver Request  Interest Accrued During The Period Amount</t>
  </si>
  <si>
    <t xml:space="preserve">
Accrued interests
    </t>
  </si>
  <si>
    <t>Premium Waiver Request  Interest Paid Amount</t>
  </si>
  <si>
    <t xml:space="preserve">
Paid interest amount
    </t>
  </si>
  <si>
    <t>Premium Waiver Request  Net Installment Premium Amount</t>
  </si>
  <si>
    <t xml:space="preserve">
Installment premium, tax included.
    </t>
  </si>
  <si>
    <t>Premium Waiver Request  Operation Effect Date Time</t>
  </si>
  <si>
    <t xml:space="preserve">
The effective date (and time) of the operation.
    </t>
  </si>
  <si>
    <t>Premium Waiver Request  Share Interest Paid By Interest Acquired Amount</t>
  </si>
  <si>
    <t xml:space="preserve">
Share interest paid by interest acquired.
    </t>
  </si>
  <si>
    <t>Premium Waiver Request  Total Waiver Amount</t>
  </si>
  <si>
    <t xml:space="preserve">
Total amount of waiver
    </t>
  </si>
  <si>
    <t>Presumptive Disability</t>
  </si>
  <si>
    <t xml:space="preserve">
A disability involving loss of sight, hearing, speech, or any two limbs, which is presumed to be a permanent and total disability. In such cases, the insurer does not require the insured to submit to periodic medical examinations to prove continuing disability.
    </t>
  </si>
  <si>
    <t>Preventive Care</t>
  </si>
  <si>
    <t xml:space="preserve">
Program of health care designed for the prevention and/or reduction of illnesses by providing such services as regular physical examinations and protective vaccinations.
    </t>
  </si>
  <si>
    <t>Preventive Care Service</t>
  </si>
  <si>
    <t xml:space="preserve">
A provider of a health care program designed for the prevention and/or reduction of illnesses by providing such services as regular physical examinations and protective vaccinations.
    </t>
  </si>
  <si>
    <t>Previous Insurer</t>
  </si>
  <si>
    <t xml:space="preserve">
Recent insurer(s) of the risk for a particular person or organization this may be the immediately preceding contract.
    </t>
  </si>
  <si>
    <t>Previous Workers Compensation Coverage Source</t>
  </si>
  <si>
    <t xml:space="preserve">
A description and/or indicator which identifies the origin of the data provided for the prior workers compensation coverage.
    </t>
  </si>
  <si>
    <t>Pricing Attitude</t>
  </si>
  <si>
    <t xml:space="preserve">
A representation of the pricing attitude, such as consumer attitude or provider attitude. 
e.g: Doctor Luigi has an extensive defensive medicine attitude (provider attitude). 
e.g: John Doe is highly price-sensitive (consumer attitude).
    </t>
  </si>
  <si>
    <t>Pricing Attitude  Rating Code</t>
  </si>
  <si>
    <t xml:space="preserve">
The representation of the consumer attitude or orientation of a party. 
e.g: High price-sensitivity 
e.g: Low price-sensitivity
    </t>
  </si>
  <si>
    <t>Pricing Modification</t>
  </si>
  <si>
    <t xml:space="preserve">
See Rate Modification.
    </t>
  </si>
  <si>
    <t>Primary Care Physician</t>
  </si>
  <si>
    <t xml:space="preserve">
A general practitioner (or another health care provider) who is responsible for overseeing and coordinating all the medical needs of a patient. The primary care physician must authorize any referral of the patient to a specialist or hospital. Except in cases of emergency, the authorization must be given prior to care (see Pre-authorization). This physician sometimes is referred to as the 'gatekeeper'.
    </t>
  </si>
  <si>
    <t>Primary Carrier</t>
  </si>
  <si>
    <t xml:space="preserve">
1. The carrier in which an agent or broker places the majority of its business. (producer view). 2. This is the carrier that typically provides the producer with commission schedules, expense allowances and the availability of markets for the producer's business. 3. In reinsurance this is the insurer on the primary insurance contract, where the current claim only applies to excess layers.
    </t>
  </si>
  <si>
    <t>Principal</t>
  </si>
  <si>
    <t xml:space="preserve">
The party primarily responsible for performing or fulfilling work in a surety bond agreement.
A party primarily liable for an obligation, in contrast with an endorser, or the like.
    </t>
  </si>
  <si>
    <t>Principal Insurer</t>
  </si>
  <si>
    <t xml:space="preserve">
An insurance company that employs or contracts with an insurance agent to represent it.
    </t>
  </si>
  <si>
    <t>Principal Operator</t>
  </si>
  <si>
    <t xml:space="preserve">
The individual who uses a covered auto the greatest part of the time, regardless of ownership.
    </t>
  </si>
  <si>
    <t>Principal Unit At Risk</t>
  </si>
  <si>
    <t xml:space="preserve">
The indication of whether or not this structure is the primary unit at risk when referencing a collection of related structures. For example,a home estate which includes a main house (the principal unit at risk), a pool house, and a detached garage.
    </t>
  </si>
  <si>
    <t>Principals - Total</t>
  </si>
  <si>
    <t xml:space="preserve">
Total number of principals employed by a company. (Note: A principal is a person who authorizes an agent to act to create a legal relationship with a third party).
    </t>
  </si>
  <si>
    <t>Prior Insurer</t>
  </si>
  <si>
    <t xml:space="preserve">
See Previous Insurer.
    </t>
  </si>
  <si>
    <t>Pro-Rata</t>
  </si>
  <si>
    <t xml:space="preserve">
A cancellation type that indicates the termination of an insurance contract or bond with the premium charge being adjusted in proportion to the exact time the protection had been in force.
    </t>
  </si>
  <si>
    <t>Process Order Rule</t>
  </si>
  <si>
    <t xml:space="preserve">
This concept allows parameterizing the processes to send orders to the stockbroker like a first run and the adjustment of the first run.
    </t>
  </si>
  <si>
    <t>Process Order Rule  Last Processed Date Time</t>
  </si>
  <si>
    <t xml:space="preserve">
The date (and time) the process rule was last processed.
    </t>
  </si>
  <si>
    <t>Producer Agreement</t>
  </si>
  <si>
    <t xml:space="preserve">
An agreement defining the way in which an insurance producer role can act on behalf of a financial services provider. The financial services provider might be an insurance company or another insurance producer. Note: The "producer" role on these agreements is not limited strictly to a producer and can extend to related support and service roles.
    </t>
  </si>
  <si>
    <t>Producer Appointment Fee</t>
  </si>
  <si>
    <t xml:space="preserve">
In Life Insurance and Annuities, the fees permitting the producer to represent the carrier.
    </t>
  </si>
  <si>
    <t>Producer Registration</t>
  </si>
  <si>
    <t xml:space="preserve">
A registration by an authorized body granting individuals or organizations the right to conduct insurance business in a particular jurisdiction (such as a county or state) in general or as part of a certain network. 
e.g: Registration of the agent John in the Lloyd's network of agents and underwriters, registered by the LLoyd's signing office.
e.g: John Doe's broker registration.
NOTE: The registration of a producer does not involve the relationship producers have with insurance companies.
    </t>
  </si>
  <si>
    <t>Producer Registration  Registrant</t>
  </si>
  <si>
    <t xml:space="preserve">
This represents the registered insurance producer (e.g. registrant) of an insurance producer registration.
    </t>
  </si>
  <si>
    <t>Producer Relationship</t>
  </si>
  <si>
    <t xml:space="preserve">
This concept defines the business relationship between an insurance provider and a producer.
    </t>
  </si>
  <si>
    <t>Producer Relationship  Distribution Method Type</t>
  </si>
  <si>
    <t xml:space="preserve">
Defines the distribution method used by the producer: is it the by phone, the mail or face to face, internet, etc.
    </t>
  </si>
  <si>
    <t>Producer Relationship  Identifier</t>
  </si>
  <si>
    <t xml:space="preserve">
An identifier assigned by the insurance provider to identify a producer relationship.
e.g. Acme Insurance assigns the producer code "34-1001" to My Agency. It might do this in support various characteristics related to the code 34-1001. For example, all policies associated with this code might have related expectations involving billing and payment services, claim service, commissions, etc.
    </t>
  </si>
  <si>
    <t>Producer Relationship  Insurance Producer</t>
  </si>
  <si>
    <t xml:space="preserve">
This represents the insurance producer in a producer relationship.
    </t>
  </si>
  <si>
    <t>Producer Relationship  Insurance Provider</t>
  </si>
  <si>
    <t xml:space="preserve">
This represents the insurance provider in a producer relationship.
    </t>
  </si>
  <si>
    <t>Producer Relationship  Type Code</t>
  </si>
  <si>
    <t xml:space="preserve">
This indicates the type of producer relationship (e.g. captive, exclusive, etc.).
    </t>
  </si>
  <si>
    <t>Producer Request</t>
  </si>
  <si>
    <t xml:space="preserve">
A request for a change on an existing producer agreement or a request for issuing a new one, or a request for executing a transaction or service according to the terms and conditions of a producer agreement. A request may be initiated by the producer or by the modeled organization.
    </t>
  </si>
  <si>
    <t>Producing Broker</t>
  </si>
  <si>
    <t xml:space="preserve">
The brokering organization that has the primary relationship with the client and who has engaged another brokering organization (the broker/placing broker) to place part of the risk.
    </t>
  </si>
  <si>
    <t>Product Administrator</t>
  </si>
  <si>
    <t xml:space="preserve">
Defines the administrator of a product offer.
    </t>
  </si>
  <si>
    <t>Product Association</t>
  </si>
  <si>
    <t xml:space="preserve">
This class is used to associate the various parts of a product specification together. Specific association types are identified via the subclasses.
    </t>
  </si>
  <si>
    <t>Product Association  Associated Product Specification Base</t>
  </si>
  <si>
    <t xml:space="preserve">
This represents the product specification base that is associated (comprised into) another (originating) product specification base via product association.
For example, product A may be comprised of products B and C. When depicting the relationships of the three products via "product association", product A would be the originating product and therefore, its product association leads to the associated instances of product B and product C.
    </t>
  </si>
  <si>
    <t>Product Association  Is Limited To Place</t>
  </si>
  <si>
    <t xml:space="preserve">
This represents the geographic place to which the product is limited.
    </t>
  </si>
  <si>
    <t>Product Attribute Specification</t>
  </si>
  <si>
    <t xml:space="preserve">
This class is used to define the general data attributes associated to Product Components. This can be used generically or specialized for more specific details via AttributeRule.
    </t>
  </si>
  <si>
    <t>Product Component Specification</t>
  </si>
  <si>
    <t xml:space="preserve">
A product component specification is the design reference of options and configurations available for a corresponding agreement component. From a technical perspective, a product component specification is to an agreement component as an XML schema is to an XML document.
    </t>
  </si>
  <si>
    <t>Product Composition</t>
  </si>
  <si>
    <t xml:space="preserve">
ProductComposition establishes the relationship of one ProductSpecification with another, making clear the nature of the composition of the result.
USAGE NOTE: When describing a scenario involving a "minimum component count", the count expected by the "is component of" ProductSpecification with regards to the "is composed of" ProductSpecification.
In other words, the three attributes essentially complete the following sentence:
is component of | minimum component count | is composed of
e.g. Four cylinder engine | minimum component count = 4 | spark plug
    </t>
  </si>
  <si>
    <t>Product Composition  Maximum Component Count</t>
  </si>
  <si>
    <t xml:space="preserve">
The maximum count of components for a given product specification.
    </t>
  </si>
  <si>
    <t>Product Distributor</t>
  </si>
  <si>
    <t xml:space="preserve">
Defines the distributor of a product offer.
    </t>
  </si>
  <si>
    <t>Product Group</t>
  </si>
  <si>
    <t xml:space="preserve">
This concept specifies a product group category.
    </t>
  </si>
  <si>
    <t>Product Group  Line Of Business</t>
  </si>
  <si>
    <t xml:space="preserve">
This free form attribute describes the line of business this product group is designed for.
    </t>
  </si>
  <si>
    <t>Product Manager</t>
  </si>
  <si>
    <t xml:space="preserve">
This concept describes one's role as insurance products manager.
    </t>
  </si>
  <si>
    <t>Product Positioning Strategy</t>
  </si>
  <si>
    <t xml:space="preserve">
An approach and plan that is outlined by the insurance carrier as to how to best position their product offerings in a way so that consumers, users, buyers, and others can compare against competitive brands or types of insurance products. As determined by market research techniques, the various products are plotted onto maps, using product attributes as dimensions.
    </t>
  </si>
  <si>
    <t>Product Profitability Scenarios</t>
  </si>
  <si>
    <t xml:space="preserve">
Analysis with corresponding options (scenarios) to determine the projected financial profitability of insurance products.
    </t>
  </si>
  <si>
    <t>Product Registration</t>
  </si>
  <si>
    <t xml:space="preserve">
The formal registering of a marketable product with a recognized authority.
    </t>
  </si>
  <si>
    <t>Product Registration  Registered Specification</t>
  </si>
  <si>
    <t xml:space="preserve">
This represents the registered product (e.g. the product to which a product registration applies).
    </t>
  </si>
  <si>
    <t>Product Request Specification</t>
  </si>
  <si>
    <t xml:space="preserve">
The specification of an agreement request. It represents a type of transactions that may be requested for the specified agreement. It also describes the circumstances under which this transaction is considered valid.
    </t>
  </si>
  <si>
    <t>Product Request Specification  Included Product Request Specification</t>
  </si>
  <si>
    <t xml:space="preserve">
This represents the product request specification included in another product request specification.
    </t>
  </si>
  <si>
    <t>Product Request Specification  Is Allowed For Product Specification</t>
  </si>
  <si>
    <t xml:space="preserve">
This represents the product specification for which a product request specification is allowed.
    </t>
  </si>
  <si>
    <t>Product Rule</t>
  </si>
  <si>
    <t xml:space="preserve">
A business rule that governs the administration of the agreement, or of a  request issued under such an agreement.
These rules offer a place to capture very specific composition rules regarding product definition.
e.g: A particular product can only be sold to residents of Belgium.
    </t>
  </si>
  <si>
    <t>Product Rule  Can Be Overwritten Indicator</t>
  </si>
  <si>
    <t xml:space="preserve">
Indicates an allowance for an override of a business rule that governs the administration of an agreement, or of a request issued under such an agreement.
    </t>
  </si>
  <si>
    <t>Product Rule  Comment On Failure</t>
  </si>
  <si>
    <t xml:space="preserve">
A free-text string used to comment on the failure of the rule specification. This comment may reveal useful information to an end-user, such as the corrective or alternative actions to take when the rule is violated.
    </t>
  </si>
  <si>
    <t>Product Rule  Evaluation Logic Code</t>
  </si>
  <si>
    <t xml:space="preserve">
This represents the applicable evaluation logic for a product rule.
    </t>
  </si>
  <si>
    <t>Product Rule  Formal Definition</t>
  </si>
  <si>
    <t>Product Rule  Type Code</t>
  </si>
  <si>
    <t xml:space="preserve">
An indication of when to use the rule specification. 
e.g: Communication rule. 
e.g: Data capture rule. 
e.g: Eligibility rule. 
e.g: Producer rule. 
e.g: Payment-related rule. 
e.g: Process rule. 
e.g: Product rule. 
e.g: Risk assessment rule.
    </t>
  </si>
  <si>
    <t>Product Rule Specification</t>
  </si>
  <si>
    <t xml:space="preserve">
This abstract concept is the super-type of most of the detail elements for a particular product definition. These elements provide the details associated to a given product element or request.
    </t>
  </si>
  <si>
    <t>Product Rule Specification  Controlled Product Rule Specification</t>
  </si>
  <si>
    <t xml:space="preserve">
This represents a product rule specification controlled by another product rule specification.
    </t>
  </si>
  <si>
    <t>Product Rule Specification  Controlled Product Specification</t>
  </si>
  <si>
    <t xml:space="preserve">
This represents the product specification (e.g. blueprint/design) controlled by a product rule specification.
    </t>
  </si>
  <si>
    <t>Product Specification</t>
  </si>
  <si>
    <t xml:space="preserve">
A product specification is the design outline from which an agreement can be produced. The product specification describes the rules and options available or needed to describe an "in good order" agreement (e.g. an agreement that conforms to the product design).
    </t>
  </si>
  <si>
    <t>Product Specification  Broad Line Of Business Code</t>
  </si>
  <si>
    <t xml:space="preserve">
A code identifying the broad line of business classification.
    </t>
  </si>
  <si>
    <t>Product Specification  Currency Code</t>
  </si>
  <si>
    <t xml:space="preserve">
Indicates the code identifying the currency selectable by the customer to be used on any monetary information provided to the customer (ISO-4217).
    </t>
  </si>
  <si>
    <t>Product Specification  Filed Form Number</t>
  </si>
  <si>
    <t xml:space="preserve">
This represents the form number of the form associated with the product specification when a filing occurs (e.g. the product via a form is presented to the appropriate authority - often a governmental agency -  for consideration of approval to market the product).
    </t>
  </si>
  <si>
    <t>Product Specification  Internal Name</t>
  </si>
  <si>
    <t xml:space="preserve">
The name assigned for internal use (e.g. use with an organization) to an agreement or agreement component.
    </t>
  </si>
  <si>
    <t>Product Specification  Line Of Business Code</t>
  </si>
  <si>
    <t xml:space="preserve">
A code identifying the line of business classification.
    </t>
  </si>
  <si>
    <t>Product Specification  Marketable Indicator</t>
  </si>
  <si>
    <t xml:space="preserve">
Indicates whether the product is designed to be marketed.
    </t>
  </si>
  <si>
    <t>Product Specification  Marketable Period</t>
  </si>
  <si>
    <t xml:space="preserve">
Time Period from which a product specification is available on the market.
    </t>
  </si>
  <si>
    <t>Product Specification  Marketing Name</t>
  </si>
  <si>
    <t xml:space="preserve">
The name assigned for marketing purposes to an agreement or agreement component.
    </t>
  </si>
  <si>
    <t>Product Specification  New Product Specification</t>
  </si>
  <si>
    <t xml:space="preserve">
This represents a new product specification as a replacement to an existing product specification.
    </t>
  </si>
  <si>
    <t>Product Specification  Product Code</t>
  </si>
  <si>
    <t xml:space="preserve">
A company-specific code indicating the product classification of the agreement or agreement component. The source of this code list is the individual insurer.
    </t>
  </si>
  <si>
    <t>Product Specification  Resulting Agreement Base</t>
  </si>
  <si>
    <t xml:space="preserve">
This represents the resulting agreement or agreement component based on the product specification.
    </t>
  </si>
  <si>
    <t>Product Specification Base</t>
  </si>
  <si>
    <t xml:space="preserve">
This abstract super-type contains attributes relevant to both product specification and the rules associated with it.
    </t>
  </si>
  <si>
    <t>Product Specification Base  Originating Product Association</t>
  </si>
  <si>
    <t xml:space="preserve">
This represents the originating product association for a product specification base.
For example, product A may be comprised of products B and C. When depicting the relationships of the three products via "product association", product A would be the originating product and therefore, its product association leads to the associated instances of product B and product C.
    </t>
  </si>
  <si>
    <t>Product Specification Status</t>
  </si>
  <si>
    <t xml:space="preserve">
This represents the status of a product specification.
    </t>
  </si>
  <si>
    <t>Product Specification Status  Code</t>
  </si>
  <si>
    <t xml:space="preserve">
The current status of a specification within the life-cycle model.
    </t>
  </si>
  <si>
    <t>Product Specification Status  Reason Code</t>
  </si>
  <si>
    <t>Production Calculation Percentage</t>
  </si>
  <si>
    <t xml:space="preserve">
This is the applicable production percentage. If omitted, the percentage equals the Commission Calculation Percentage.
    </t>
  </si>
  <si>
    <t>Professional Service Relationship</t>
  </si>
  <si>
    <t xml:space="preserve">
This concept defines a professional services relationship between service providers in which one service provider is committed to provide another service provider with a service according to agreed terms. The agreed terms details of such relationships are often accounted for via a formal agreement.
e.g. An  automobile repair company may have a relationship with an insurance company where covered auto losses involving certain vehicle repairs are performed by the automobile repair company. In addition to the automobile repair work, the relationship may also account for expectations involving timeliness of repairs and electronic data exchange, including finances, in support of business efficiencies.
    </t>
  </si>
  <si>
    <t>Professional Service Relationship  Provider</t>
  </si>
  <si>
    <t xml:space="preserve">
This represents the service provider providing service in a professional service relationship.
    </t>
  </si>
  <si>
    <t>Professional Service Relationship  Requester</t>
  </si>
  <si>
    <t xml:space="preserve">
This represents the service provider requesting service in a professional service relationship.
    </t>
  </si>
  <si>
    <t>Profit And Loss Account</t>
  </si>
  <si>
    <t xml:space="preserve">
The Profit &amp; Loss account is an aggregation of all expenses and revenue over a certain period of time. It may be comprised of revenue and expense accounts, depending on the aggregation approach done by the modeling organization.
    </t>
  </si>
  <si>
    <t>Profit Commission</t>
  </si>
  <si>
    <t xml:space="preserve">
See Contingent Commission.
    </t>
  </si>
  <si>
    <t>Profit Commission Amount</t>
  </si>
  <si>
    <t>Profit Commission Basis</t>
  </si>
  <si>
    <t xml:space="preserve">
See Contingent Commission Basis.
    </t>
  </si>
  <si>
    <t>Profit Commission Calculation Frequency.</t>
  </si>
  <si>
    <t xml:space="preserve">
See Contingent Commission Calculation Frequency.
    </t>
  </si>
  <si>
    <t>Profit Group</t>
  </si>
  <si>
    <t xml:space="preserve">
Group of people with similar profit characteristics.
    </t>
  </si>
  <si>
    <t>Profitability Score</t>
  </si>
  <si>
    <t xml:space="preserve">
A measure of the relative profitability of a person, organization, or market segment.  This can also be used to allocate a profitability index to a marketable product or product group. 
e.g: The profitability of the Acme Universal Life product. 
e.g: The profitability of the Newly Married with No Children market segment.
    </t>
  </si>
  <si>
    <t>Profitability Score  Rating Code</t>
  </si>
  <si>
    <t xml:space="preserve">
The assessment of the relative profitability of a person, organization, market segment, marketable product or product group. 
e.g: 15% net gain 
e.g: 27% net loss 
e.g: High 
e.g: Loss 
e.g: Low 
e.g: Marginal
    </t>
  </si>
  <si>
    <t>Progressive Care</t>
  </si>
  <si>
    <t xml:space="preserve">
Method for providing the degree of health care that is medically necessary at any given stage in illness or recovery, ranging from acute care in a hospital to recuperation at home.
    </t>
  </si>
  <si>
    <t>Project Manager</t>
  </si>
  <si>
    <t xml:space="preserve">
Marketing project manager.
    </t>
  </si>
  <si>
    <t>Projected Market Share</t>
  </si>
  <si>
    <t xml:space="preserve">
An anticipated proportion of the total quantity or sales revenue in a market that an insurance company is projected to attain in comparison to its competitors.
    </t>
  </si>
  <si>
    <t>Propensity Score</t>
  </si>
  <si>
    <t xml:space="preserve">
An assessed likelihood or probability of a party taking a particular course of action. Such a score is typically derived from a mathematical model of consumer behavior and is used to support Customer Relationship Management processes.
 The following are typical types of propensity scores:
An Acquisition score indicates the probability of purchasing a particular product or group of products. 
A Cross-sell score indicates the probability of purchasing products not currently held with a particular provider, for example buying home contents insurance from an insurance company with which term life insurance is already held. 
An Up-sell score indicates the probability of upgrading a currently held product, for example, increasing the sum assured (face amount) under a life policy. 
A Retention score indicates the probability of a customer terminating their relationship with the modeled organization in whole or in part, for example surrendering an endowment policy. 
e.g: The propensity of Jane Browning to purchase a retirement annuity. 
e.g: The propensity of new home-buyers to purchase mortgage term life insurance.
    </t>
  </si>
  <si>
    <t>Propensity Score  Predictive Model Code</t>
  </si>
  <si>
    <t xml:space="preserve">
Predictive model used to perform the evaluation of the propensity scores. 
e.g: Attrition 
e.g: Cross sell (Life to Non-life) 
e.g: Cross sell (Non life to Health) 
e.g: Customer retention 
e.g: Up sell (Fire house coverage to full house coverage)
 e.g: Winback
    </t>
  </si>
  <si>
    <t>Propensity Score  Propensity To Buy Percentage</t>
  </si>
  <si>
    <t xml:space="preserve">
The probability that a party will buy when a proposition is made. 
e.g: 40%
    </t>
  </si>
  <si>
    <t>Propensity Score  Propensity To Cancel Percentage</t>
  </si>
  <si>
    <t xml:space="preserve">
The probability that a party will terminate any insurance policy before its renewal. 
e.g: 15%
    </t>
  </si>
  <si>
    <t>Propensity Score  Propensity To Claim Code</t>
  </si>
  <si>
    <t xml:space="preserve">
Code indicating the frequency at which a party will make claims against any of the party's insurance policy. 
e.g: annually
    </t>
  </si>
  <si>
    <t>Propensity Score  Propensity To Enquire Percentage</t>
  </si>
  <si>
    <t xml:space="preserve">
The probability that a party will approach a company on the party's own initiative. 
e.g: 10%
    </t>
  </si>
  <si>
    <t>Propensity Score  Propensity To Lapse Percentage</t>
  </si>
  <si>
    <t xml:space="preserve">
The probability that a party will allow any insurance policy to lapse at their next renewal. 
e.g: 10%
    </t>
  </si>
  <si>
    <t>Propensity Score  Propensity To Respond Percentage</t>
  </si>
  <si>
    <t xml:space="preserve">
The probability that a party will respond when contacted as part of a campaign. 
e.g: 80%
    </t>
  </si>
  <si>
    <t>Propensity Score  Propensity To Upgrade Code</t>
  </si>
  <si>
    <t xml:space="preserve">
Code indicating the frequency at which a party will upgrade any insurance policy. 
e.g: annually
    </t>
  </si>
  <si>
    <t>Property Coverage</t>
  </si>
  <si>
    <t xml:space="preserve">
This insurance coverage class is used to express property benefits for property and casualty insurance (aka General Insurance).
    </t>
  </si>
  <si>
    <t>Property Coverage  Coinsurance Percent</t>
  </si>
  <si>
    <t xml:space="preserve">
Coinsurance is a penalty imposed on the insured by the insurer for under reporting/declaring/insuring the value of tangible property or business income. The penalty is based on a percentage stated within the policy and the amount under reported.
As an example:
A building actually valued at $1,000,000 has an 80% coinsurance clause but is insured for only $750,000. Since its insured value is less than 80% of its actual value, when it suffers a loss, the insurance payout will be subject to the underreporting penalty. For example: It suffers a $200,000 loss. The insured would recover $750,000 ÷ (.80 × 1,000,000) × 200,000 = $187,500 (less any deductible).
In this example the underreporting penalty would be $12,500.
The most commonly issued coinsurance percentage would be 80% but can be as high as 100%. The latter[100%] would impose the greatest penalty for under reporting. For this reason, it is vital that values of property are accurately reported and updated annually to reflect inflation and other increases in cost.
    </t>
  </si>
  <si>
    <t>Property Coverage Specification  Type Code</t>
  </si>
  <si>
    <t xml:space="preserve">
This represents a property and casualty coverage.
    </t>
  </si>
  <si>
    <t>Property Improvements</t>
  </si>
  <si>
    <t xml:space="preserve">
Permanent additions or changes made to a building by a lessee at his own expense that may not legally be removed.
    </t>
  </si>
  <si>
    <t>Property Loss Event</t>
  </si>
  <si>
    <t xml:space="preserve">
An event that involves loss to property.
e.g. Fire, wind, flood, theft
    </t>
  </si>
  <si>
    <t>Property Schedule</t>
  </si>
  <si>
    <t xml:space="preserve">
A listing of risk details about a collection of property - both real and personal - included in and integral to the insurance contract.
    </t>
  </si>
  <si>
    <t>Proportional Facultative Agreement</t>
  </si>
  <si>
    <t xml:space="preserve">
Facultative reinsurance defining a reinsurer's share of claims carried by the insurer in proportion to its share of premiums received. Proportional reinsurance is generally written as a quota share of business or as surplus reinsurance.
    </t>
  </si>
  <si>
    <t>Proportional Treaty Agreement</t>
  </si>
  <si>
    <t xml:space="preserve">
This concept is the super-type of all proportional treaty types.
A proportional Treaty is a reinsurance agreement in which the risks are transferred in direct proportion to the premiums paid over.
    </t>
  </si>
  <si>
    <t>Proportional Treaty Agreement  Account Frequency Code</t>
  </si>
  <si>
    <t xml:space="preserve">
A coded identification of the frequency that accounts will be submitted under a proportional treaty reinsurance (e.g. quarterly, half-yearly, etc.).
    </t>
  </si>
  <si>
    <t>Proportional Treaty Agreement  Commission Calculation Mode</t>
  </si>
  <si>
    <t xml:space="preserve">
Description of the method used in calculation of the ceding commission.
    </t>
  </si>
  <si>
    <t>Proportional Treaty Agreement  Commission Rate</t>
  </si>
  <si>
    <t xml:space="preserve">
The commission paid by the reinsurer to the ceding company (primary insurer) on reinsurance agreements as compensation to place the business with the reinsurer and to cover the ceding company's acquisition expenses.
Also called Ceding commission or Exchange commission. The pricing mechanism (expressed as a percentage of premium ceded) under a proportional reinsurance contract, whereby the ceding company recoups the reinsurer's pro rata share of its original costs from the reinsurer (and, in addition, sometimes claims a margin for good will or presumptive profit). The cedent's original costs are comprised of acquisition costs (direct commission, brokerage) and management expenses (on risk inspection, issue of policies, underwriting, accounting, claims processing etc.) Commission is payable only under proportional reinsurance - whether facultative or treaty. The reason is that, under the proportional method, the reinsurer shares premiums with the cedent in direct proportion to his share of the sum insured and must likewise share the costs. Under the excess of loss method, there is no such sharing and the premium charged to the reassured is a net price related to the quantum of protection. If commission is only meant to recover actual original costs, it can be calculated easily. However, in practice, it is a pricing mechanism whereby the cedent tries to earn the highest possible reward for producing, controlling and managing a book of business which is then given in a packaged form to the reinsurer. The rate of commission therefore includes a premium for quality based on the merits and performance of the portfolio ceded. Commission terms vary, depending on basis of cession (OGR or ONR). In fixing the margin over and above original costs, the factors taken into account are the balance of the treaty, the track record of the treaty and future loss potential, extent of anti-selection against the reinsurer, types of risks and perils ceded, market norms for each class / treaty type, type of treaty, , whether treaty is traded reciprocally, cash flow potential, special relationship if any with the reinsurer, cost of administration of the treaty and, finally, the law of supply and demand. There are three types of commission: - Fixed Commission - Fixed plus Additional Commission linked to Loss Ratio - Sliding Scale Commission.
    </t>
  </si>
  <si>
    <t>Proportional Treaty Agreement  Overriding Commission Rate</t>
  </si>
  <si>
    <t xml:space="preserve">
An allowance paid to the ceding company (cedent) over and above the acquisition cost to allow for overhead expenses and often including a margin for profit.
    </t>
  </si>
  <si>
    <t>Proportional Treaty Agreement  Profit Commission Calculation Mode</t>
  </si>
  <si>
    <t xml:space="preserve">
Description of the method used in calculation of the profit commission.
    </t>
  </si>
  <si>
    <t>Proportional Treaty Agreement  Profit Commission Rate</t>
  </si>
  <si>
    <t xml:space="preserve">
Also known as Contingent commission.
This is an amount which the reinsurer agrees to pay to the reassured (usually under a proportional treaty and very rarely under a non-proportional treaty) as an incentive by way of profit participation. The results are arrived at after deduction from earned premium of losses incurred, ceding commission, taxes &amp; charges (but not brokerage) and an allowance for the reinsurer's management expenses (the M/E factor). Losses, if any, are carried forward to the computation of profit for a specified count of subsequent years or until extinction. A separate statement has to be prepared for each reinsurer because, apart from differences in ceding commission and rate of profit commission (as, for example, in the case of the Lead Reinsurer or a reciprocal reinsurer), only those losses may be carried forward which relate to the participation of a particular reinsurer in previous years. A new reinsurer cannot claim credit for losses carried forward relating to the outgoing reinsurer whom he has replaced. The commission may be a fixed percentage of the profit or calculated on a sliding scale. It is important for the cedent to render a profit commission statement within a reasonable time after rendering of accounts for the final quarter, even if the result is a loss because otherwise accounts would be incomplete and the loss to be carried forward will not be recorded. This also facilitates maintenance of cumulative treaty statistics over a period of years. Reinsurers would prefer allowing a generous profit commission to a higher basic commission. The rate is influenced by various factors - such as: - whether the treaty is well-established and has a clear pattern of past profitability or is unbalanced, with the dangerous potential that profits earned over several good years may be wiped out by a huge loss in a single year, - whether there is a substantial exposure to catastrophic losses (riots, elemental perils), thus requiring the reinsurer to incur additional costs on excess of loss protection for his share, - whether the treaty is placed on reciprocal basis or is placed as a bouquet supported by a book of more profitable business and - whether the basic commission itself incorporates a profit incentive (as discussed earlier). Where various treaties are placed together on 'bouquet' basis, profit commission is usually calculated on the combined results of the bouquet. Likewise, where a treaty is comprised of more than one section (Quota Share / Surplus, Domestic / Foreign risks, different sub-classes such as under General Accident). Calculation of profits under a bouquet becomes a bit of a problem if it contains long tail business such as Marine Cargo, CAR/EAR or liability. There is a theory which holds that no profit commission should be allowed under a quota share treaty as the results and interests of both parties under such a treaty are already the same (i.e. they share in both good and bad business) and there is no need for a further monetary inducement to the cedent for better management of the portfolio. The position under a surplus treaty is different as the cedent is in a position to influence the fortunes of the surpluses ceded without participating in the results. Profit commission is not usually allowed under automatic facultative and facultative obligatory treaties, where results tend to fluctuate widely and there is a potential for periodical heavy deficits. The objective in fixing the rate of profit commission would be to ensure that, combined with the basic commission; it does not eat up an unreasonable portion of the profit. The reinsurer should be allowed to retain an adequate margin in return for the risk he has run and in order that he is enabled to set aside reserves to finance the deficit in bad years. In order to achieve some flexibility on this front, it is common practice to have sliding scale or stepped up scales based on the profit ratio. While the ratio of profit for purposes of the formula is based on earned premium, the rate profit commission payable is applied to written premium.
    </t>
  </si>
  <si>
    <t>Proposal Request</t>
  </si>
  <si>
    <t xml:space="preserve">
This concept gathers information to build a proposal. It may follow a quotation request.
The information (on risk, covers, benefits, clauses....) required to build a proposal is specified using the relationship with concepts inside the Agreement Package additionally to the information formerly specified in the quotation request (if a previous quotation request has been issued)
    </t>
  </si>
  <si>
    <t>Protective Material</t>
  </si>
  <si>
    <t xml:space="preserve">
This contains information concerning protective material and related details.
    </t>
  </si>
  <si>
    <t>Provided Object</t>
  </si>
  <si>
    <t xml:space="preserve">
This role represents a physical object that acts as the "provided object" (e.g. structure, land, vehicle, etc.)  in a usage agreement (e.g. lease).
    </t>
  </si>
  <si>
    <t>Provider</t>
  </si>
  <si>
    <t xml:space="preserve">
The role played by a third party about which the insurance company wishes to keep information with regard to their involvement in the insurance business as activity providers. Also referred to as contractor or subcontractor.
    </t>
  </si>
  <si>
    <t>Provider Agreement</t>
  </si>
  <si>
    <t xml:space="preserve">
An agreement between party's concerning the provisioning of goods or services. 
The provider agreement will typically describe the type of goods, physical objects, and services, activity occurrences, to be delivered, the cost, money provision, and terms and conditions that apply. 
Supplier and buyer can be the modeled organization, its customers or any other third party. 
e.g: An agreement between Acme Insurance and Joe's Automotive Repair Shop to repair the damage done to covered cars in certain conditions.
    </t>
  </si>
  <si>
    <t>Provider Agreement  Involved Specification</t>
  </si>
  <si>
    <t xml:space="preserve">
This represents the specification (e.g. blueprint/design) for a manufactured item involved in a provider agreement (e.g. an agreement between party's concerning the provisioning of goods or services).
    </t>
  </si>
  <si>
    <t>Provider Request</t>
  </si>
  <si>
    <t xml:space="preserve">
A request for a change on an existing provider agreement or a request for issuing a new one, or a request for executing a transaction or service according to the terms and conditions of a provider agreement. A request may be initiated by the provider or by the modeled organization. 
e.g: MIA Insurance Co.'s request to their automobile expert to assess the physical condition of John Doe's damaged vehicle.
    </t>
  </si>
  <si>
    <t>Provisional Commission</t>
  </si>
  <si>
    <t xml:space="preserve">
The tentative amount of the commission which is subject to subsequent adjustment.
    </t>
  </si>
  <si>
    <t>Provisional License</t>
  </si>
  <si>
    <t xml:space="preserve">
A license that is temporary, under supervision, or only valid for one case.
    </t>
  </si>
  <si>
    <t>Provisional Rating</t>
  </si>
  <si>
    <t xml:space="preserve">
See Preliminary Rating.
    </t>
  </si>
  <si>
    <t>Provisional Rating Factor</t>
  </si>
  <si>
    <t xml:space="preserve">
See Preliminary Rating Factor.
    </t>
  </si>
  <si>
    <t>PSA</t>
  </si>
  <si>
    <t xml:space="preserve">
Prostate Specific Antigens (PSA)
    </t>
  </si>
  <si>
    <t>PSLA</t>
  </si>
  <si>
    <t xml:space="preserve">
Pennsylvania Surplus Lines Association (PSLA)
    </t>
  </si>
  <si>
    <t>PUA</t>
  </si>
  <si>
    <t xml:space="preserve">
Paid-Up Additions (PUA)
    </t>
  </si>
  <si>
    <t>PUC</t>
  </si>
  <si>
    <t xml:space="preserve">
Public Utilities Commission (PUC)
    </t>
  </si>
  <si>
    <t>Qualified Annuity</t>
  </si>
  <si>
    <t xml:space="preserve">
An annuity that is purchased to either fund or distribute funds from a tax qualified employee benefit retirement plan and that is exempt from current income taxation during the accumulation period.
    </t>
  </si>
  <si>
    <t>Qualified Distribution</t>
  </si>
  <si>
    <t xml:space="preserve">
Withdrawals or payments from an insurance contract that are tax and penalty free. In order to be qualified it must meet certain IRS requirements.
    </t>
  </si>
  <si>
    <t>Qualified Plan</t>
  </si>
  <si>
    <t xml:space="preserve">
Defines which entities are appropriate for a collection of tax qualified plan types.
    </t>
  </si>
  <si>
    <t>Qualified Plan Market</t>
  </si>
  <si>
    <t xml:space="preserve">
A market consists of customers able and eager to carry out an exchange, enabling them to satisfy a need or desire through a product or service.
    </t>
  </si>
  <si>
    <t>Qualified Retirement Plan</t>
  </si>
  <si>
    <t xml:space="preserve">
In the United States, an employer sponsored retirement plan that satisfies complex legal requirements to receive federal income tax benefits. Some examples include: 410A, 401K, 403B, 414H, SIMPLE, SEP, IRA, etc.
    </t>
  </si>
  <si>
    <t>Question Template</t>
  </si>
  <si>
    <t xml:space="preserve">
The definition of a question, that can be asked to a party. 
e.g: Are you interested in this option? 
e.g: Contact method used? 
e.g: Good health? 
e.g: The question Good health?
    </t>
  </si>
  <si>
    <t>Question Template  Defaulted Predefined Answer</t>
  </si>
  <si>
    <t xml:space="preserve">
This represents a predefined default answer to a corresponding question.
    </t>
  </si>
  <si>
    <t>Questionnaire</t>
  </si>
  <si>
    <t xml:space="preserve">
A kind of document template that can be sent out to a party with a number of asked questions that allow a limited set of predefined answers or free text answers. In a marketing context, this is also known as a survey. 
e.g: Appointment feedback questionnaire. 
e.g: Car insurance questionnaire. 
e.g: Customer satisfaction survey.
    </t>
  </si>
  <si>
    <t>Quota Share Percentage</t>
  </si>
  <si>
    <t xml:space="preserve">
The percentage of each original risk which will be ceded to a quota share reinsurance treaty.
    </t>
  </si>
  <si>
    <t>Quota Share Treaty Agreement</t>
  </si>
  <si>
    <t xml:space="preserve">
Quota Share Treaty.
Quota share reinsurance is an automatic reinsurance that requires the insurer to transfer, and the reinsurer to accept, a given percentage of every risk within a defined category of business written by the insurer. For example, in the case of a 20% quota share, the insurer transfers 20% of its liability and premiums on every risk to the reinsurer, who must pay 20% of any loss sustained, whether total or partial. The percentage is constant throughout and applies to premiums and losses alike.
    </t>
  </si>
  <si>
    <t>Quota Share Treaty Agreement  Cession Rate</t>
  </si>
  <si>
    <t xml:space="preserve">
Percentage of value of insured risks that a reinsured party cedes under a proportional treaty reinsurance contract.
    </t>
  </si>
  <si>
    <t>Quota Share Treaty Agreement  Retention Rate</t>
  </si>
  <si>
    <t xml:space="preserve">
The rate applicable to the retention amount.
    </t>
  </si>
  <si>
    <t>Quotation</t>
  </si>
  <si>
    <t xml:space="preserve">
This aggregate contains all of the elements necessary to reflect a quoted coverage.
    </t>
  </si>
  <si>
    <t>Quotation Request</t>
  </si>
  <si>
    <t xml:space="preserve">
This concept describes a quotation request. The information of the quotation request is mainly contained in the related contract elements. 
Using this quotation request and its related elements one will get a quotation (Quotation concept) of the hypothetical future insurance contract.
    </t>
  </si>
  <si>
    <t>Quotation Request  Commission Rate</t>
  </si>
  <si>
    <t xml:space="preserve">
In some cases this information is fixed by default. For other cases where agents can define their commission amount, this information is then fixed by the agent. CommissionRate is usually bounded by two limits defined by the insurer.
    </t>
  </si>
  <si>
    <t>Quotation Request  Resulting Proposal Request</t>
  </si>
  <si>
    <t xml:space="preserve">
This represents the proposal request that resulted from a quotation request.
    </t>
  </si>
  <si>
    <t>Quotation Request  Selected Agreement Period</t>
  </si>
  <si>
    <t xml:space="preserve">
The period (start and end) associated with the agreement that may be pursued as related to the quotation request.
    </t>
  </si>
  <si>
    <t>Quote Conditions</t>
  </si>
  <si>
    <t xml:space="preserve">
Conditions associated with the quotation.
    </t>
  </si>
  <si>
    <t>RAA</t>
  </si>
  <si>
    <t xml:space="preserve">
Reinsurance Association of America (RAA)
    </t>
  </si>
  <si>
    <t>Racing Experience</t>
  </si>
  <si>
    <t xml:space="preserve">
This represents racing experience as a lifestyle activity (e.g. leisure pursuit).
    </t>
  </si>
  <si>
    <t>Radius Of Operations</t>
  </si>
  <si>
    <t xml:space="preserve">
The distance traveled by commercial vehicles from the place of garaging to the destination as used in commercial auto rating. For example, local (not more than 50 miles), intermediate (between 50 and 200 miles), and long distance (more than 200 miles).
    </t>
  </si>
  <si>
    <t>Railway Vehicle</t>
  </si>
  <si>
    <t xml:space="preserve">
A railway vehicle is a vehicle designed to move on a railway (e.g. locomotive, freight, etc.).
    </t>
  </si>
  <si>
    <t>Railway Vehicle Specification</t>
  </si>
  <si>
    <t xml:space="preserve">
This represents the specification of the characteristics of a railway vehicle.
    </t>
  </si>
  <si>
    <t>Railway Vehicle Specification  Type Code</t>
  </si>
  <si>
    <t xml:space="preserve">
This represents a type of railway vehicle.
    </t>
  </si>
  <si>
    <t>RAPA</t>
  </si>
  <si>
    <t xml:space="preserve">
Reinsurance Administration Professionals Association (RAPA)
    </t>
  </si>
  <si>
    <t>Rate Effective Date</t>
  </si>
  <si>
    <t xml:space="preserve">
The date the rate is applicable. For example, a start date of flood rate in property and casualty, or the start date of an interest rate on an investment product.
    </t>
  </si>
  <si>
    <t>Rate Level</t>
  </si>
  <si>
    <t xml:space="preserve">
A number indicating which level of the rating scale is reported in this occurrence. For instance: 01=first, 02 = second. If scaled rating data is not being sent, 01 will always be used. This term is used in the rating process for Surety.
    </t>
  </si>
  <si>
    <t>Rating Bureau</t>
  </si>
  <si>
    <t xml:space="preserve">
An industry organization that defines rates, loss costs and prepares new contract forms according to guidelines and regulations.
    </t>
  </si>
  <si>
    <t>Rating Class</t>
  </si>
  <si>
    <t xml:space="preserve">
Specifies the classification of a risk, which is used for purposes of rating.
    </t>
  </si>
  <si>
    <t>Rating Classification</t>
  </si>
  <si>
    <t xml:space="preserve">
The grouping of risks that have similar exposures and/or experience used rating purposes.
    </t>
  </si>
  <si>
    <t>Rating Component</t>
  </si>
  <si>
    <t xml:space="preserve">
This component contains information specific to how the subject of insurance is rated.  While the values are based on the subject of insurance, they may be different than that of the individual elements on the subject itself. For instance, a policy may be issued as a unisex policy and thus the gender used for rating is unisex, not male or female.
    </t>
  </si>
  <si>
    <t>Rating Credit</t>
  </si>
  <si>
    <t xml:space="preserve">
1: Specifies the type of credits applied to a risk for purposes of ratings. 2: As used for employee benefits in life insurance: annual contributions to a pension plan that exceed or are smaller than (1) the minimum required for future employee benefits currently being earned; and (2) any supplemental liability for past benefits earned but not previously funded.
    </t>
  </si>
  <si>
    <t>Rating Factor</t>
  </si>
  <si>
    <t xml:space="preserve">
A factor, based on the risk class that is used in determining premium.
    </t>
  </si>
  <si>
    <t>Rating Symbol</t>
  </si>
  <si>
    <t xml:space="preserve">
A variable used in calculating the cost of insurance for specific types of vehicles, trailers or mobile equipment based on but not limited to factors such as make, model, performance and cost new.
    </t>
  </si>
  <si>
    <t>Rating Territory</t>
  </si>
  <si>
    <t xml:space="preserve">
This concept establishes a relationship between place and an agreement component in support of rating and underwriting involving a place (e.g. usually relevant because it is the place in which the subject of insurance is located). In general, it identifies a geographic area for which a rating applies in the context of an agreement.
NOTE: In some cases, the concept of a rating territory is not necessarily specific to a particular coverage. For example, property coverages may involve determination of a territory (also known as a zone) and one or more of these may be needed to perform a rating calculation - see list below.
- fire protection class
- brush fire zone
- building code effectiveness grade
    </t>
  </si>
  <si>
    <t>Rating Territory  Identified Place</t>
  </si>
  <si>
    <t xml:space="preserve">
This is the geographic place identified by a rating territory.
    </t>
  </si>
  <si>
    <t>Rating Territory  Supplemented Agreement Base</t>
  </si>
  <si>
    <t xml:space="preserve">
This is the agreement or agreement component (e.g. coverage, benefit, etc.) supplemented by a rating territory.
    </t>
  </si>
  <si>
    <t>Rating Territory  Territory Code</t>
  </si>
  <si>
    <t xml:space="preserve">
An industry or insurer specific code that identifies a geographic area designated for rating purposes.
    </t>
  </si>
  <si>
    <t>Rating Territory  Type Code</t>
  </si>
  <si>
    <t xml:space="preserve">
A code indicating the type of rating territory (e.g. earthquake, flood, wind, etc.).
    </t>
  </si>
  <si>
    <t>RBC</t>
  </si>
  <si>
    <t xml:space="preserve">
Red Blood Count (RBC)
    </t>
  </si>
  <si>
    <t>Real Property</t>
  </si>
  <si>
    <t xml:space="preserve">
Land, as well as buildings and other structures attached to the land or embedded in it.
    </t>
  </si>
  <si>
    <t>REBC</t>
  </si>
  <si>
    <t xml:space="preserve">
Registered Employee Benefits Consultant (REBC)
    </t>
  </si>
  <si>
    <t>Recapture</t>
  </si>
  <si>
    <t xml:space="preserve">
The process by which a ceding company takes back a risk or risks that previously were ceded to a reinsurer.
    </t>
  </si>
  <si>
    <t>Receiving Financial Institution</t>
  </si>
  <si>
    <t xml:space="preserve">
The maintenance agency of the Financial Account Receiving Financial Institution Identification code given. (Needs better definition)
    </t>
  </si>
  <si>
    <t>Recovery Expense</t>
  </si>
  <si>
    <t xml:space="preserve">
The cost incurred in pursuing salvage, subrogation, and reinsurance claim recoveries.
    </t>
  </si>
  <si>
    <t>Recovery Letter</t>
  </si>
  <si>
    <t xml:space="preserve">
This concept materializes the recovery letter which may be received or submitted.
    </t>
  </si>
  <si>
    <t>Recovery Letter  Contest Reason</t>
  </si>
  <si>
    <t xml:space="preserve">
The reason of the contest by the insurance company
    </t>
  </si>
  <si>
    <t>Recovery Letter  Refusal Reason</t>
  </si>
  <si>
    <t xml:space="preserve">
This is the description of the refusal reason(s) following a recovery contest.
    </t>
  </si>
  <si>
    <t>Recovery Letter  Submitted Indicator</t>
  </si>
  <si>
    <t xml:space="preserve">
An indicator the recovery letter has been submitted.
    </t>
  </si>
  <si>
    <t>REER</t>
  </si>
  <si>
    <t xml:space="preserve">
Régime enregistré d'épargne-retraite (REER)
English translation: Registered Retirement Savings Plan or Registeres Retirement Term Fund
    </t>
  </si>
  <si>
    <t>Referral Physician Consultation</t>
  </si>
  <si>
    <t xml:space="preserve">
This concept represents the consultation performed by the referral physician.
    </t>
  </si>
  <si>
    <t>Referral Physician Consultation  Consultation Date Time</t>
  </si>
  <si>
    <t xml:space="preserve">
The date (and time) of a consultation with a referral physician.
    </t>
  </si>
  <si>
    <t>Referral Physician Consultation  First Consultation Date Time</t>
  </si>
  <si>
    <t xml:space="preserve">
The first date (and time) of a consultation with a referral physician.
    </t>
  </si>
  <si>
    <t>Regional Unit</t>
  </si>
  <si>
    <t xml:space="preserve">
A component or subdivision of an organization established on a regional basis. 
e.g: The EMEA (Europe Middle-East Africa) regional unit.
    </t>
  </si>
  <si>
    <t>Registered Keeper</t>
  </si>
  <si>
    <t xml:space="preserve">
Person or organization who is the registered keeper (or tenant) of an object.
    </t>
  </si>
  <si>
    <t>Registration</t>
  </si>
  <si>
    <t xml:space="preserve">
A formal recording, by an authorized body, of the granting of rights, privileges, favors, statuses, or qualifications. Registrations are important from the perspective of being a qualified source of information. They are similar to assessments in the respect that the associated information can be considered more reliable than the same information not associated with a registration.
    </t>
  </si>
  <si>
    <t>Registration  Description</t>
  </si>
  <si>
    <t xml:space="preserve">
A free-text statement used to explain the meaning of the registration.
    </t>
  </si>
  <si>
    <t>Registration  Disqualification Date Time</t>
  </si>
  <si>
    <t xml:space="preserve">
The date (and time) at which the registration was disqualified for a given reason. 
Derived from the status related information.
    </t>
  </si>
  <si>
    <t>Registration  Disqualification Reason Code</t>
  </si>
  <si>
    <t xml:space="preserve">
The reason explaining why the registration was disqualified. 
Derived from the status related information.
    </t>
  </si>
  <si>
    <t>Registration  Effective Period</t>
  </si>
  <si>
    <t xml:space="preserve">
The duration(start and end date) of the registration issued by the registration authority. 
Derived from the status related information.
    </t>
  </si>
  <si>
    <t>Registration  Identifier</t>
  </si>
  <si>
    <t xml:space="preserve">
This is the registration identifier assigned by the registration authority.
e.g. driver's license number, vehicle registration number, passport number, tax id number, social security number (SSN), Federal Employment Information Number (FEIN), National Insurance Producer Registry Number (NIPR), International Securities Identification Number (ISIN), etc.
    </t>
  </si>
  <si>
    <t>Registration  Included In Registry</t>
  </si>
  <si>
    <t xml:space="preserve">
This represents the registry within which the registration is included (e.g. a driver's license registry which includes driver's licenses).
    </t>
  </si>
  <si>
    <t>Registration  Issued Place</t>
  </si>
  <si>
    <t xml:space="preserve">
This represents the registration's place of issuance (e.g. the place to which the granting of rights, privileges, favors, statuses, or qualifications applies as intended by the registry and registry authority). For example, a New York state driver's license would have an issued place of "New York").
    </t>
  </si>
  <si>
    <t>Registration  Last Used Date Time</t>
  </si>
  <si>
    <t xml:space="preserve">
The last date (and time) this registration has been used in the context of a business activity, to attest of the bearer's qualification.
    </t>
  </si>
  <si>
    <t>Registration  Last Verified Date Time</t>
  </si>
  <si>
    <t xml:space="preserve">
The last date (and time) this registration has been verified by the modeled organization.
    </t>
  </si>
  <si>
    <t>Registration Body</t>
  </si>
  <si>
    <t xml:space="preserve">
An organization in which an insurance carrier or producer is required to file products, rates, producer appointments.
    </t>
  </si>
  <si>
    <t>Registration Status</t>
  </si>
  <si>
    <t xml:space="preserve">
This represents the status of a registration.
    </t>
  </si>
  <si>
    <t>Registration Status  Code</t>
  </si>
  <si>
    <t xml:space="preserve">
The current status of the registration within the life-cycle model.
    </t>
  </si>
  <si>
    <t>Registration Status  Reason Code</t>
  </si>
  <si>
    <t>Registry</t>
  </si>
  <si>
    <t xml:space="preserve">
This concept represents a repository of registrations (e.g. the department of motor vehicles registry of vehicle registrations).
    </t>
  </si>
  <si>
    <t>Registry  Administering Authority</t>
  </si>
  <si>
    <t xml:space="preserve">
This represents the registry authority administering a registry authority (e.g. a bureau of motor vehicles acting as the registry authority for a registry of driver's licenses).
    </t>
  </si>
  <si>
    <t>Registry  Included Registration</t>
  </si>
  <si>
    <t xml:space="preserve">
This represents a registration included within a registry (e.g. a driver's license included within a driver's license registry).
    </t>
  </si>
  <si>
    <t>Registry  Name</t>
  </si>
  <si>
    <t xml:space="preserve">
This concept represents the name of a registry.
    </t>
  </si>
  <si>
    <t>Registry Authority</t>
  </si>
  <si>
    <t xml:space="preserve">
A party role, in the context of a registration, where a party provides a registration and the related details for the resulting registry and its registrations.
    </t>
  </si>
  <si>
    <t>Registry Authority  Administered Registry</t>
  </si>
  <si>
    <t xml:space="preserve">
This represents the registry being administered by the registry authority (e.g. a driver's license registry which is administered by a bureau of motor vehicles).
    </t>
  </si>
  <si>
    <t>Registry Authority  Authorizing Organization</t>
  </si>
  <si>
    <t xml:space="preserve">
This represents the organization playing the role of registry authority (e.g. the New York State Department of Motor Vehicles is the party playing the role of registry authority for a registry of driver's licenses for the state of New York).
    </t>
  </si>
  <si>
    <t>Registry Authority  Jurisdiction Place</t>
  </si>
  <si>
    <t xml:space="preserve">
This represents the place(s) for which the registry authority has jurisdiction (e.g. the New York State Department of Motor Vehicles is the party playing the role of registry authority for a registry of driver's licenses and in that role, its jurisdiction "place" is the state of New York).
    </t>
  </si>
  <si>
    <t>Regulatory Examiner</t>
  </si>
  <si>
    <t xml:space="preserve">
Representative of the commissioner of insurance who conducts an audit of an insurance company's records.
    </t>
  </si>
  <si>
    <t>Rehabilitation Care</t>
  </si>
  <si>
    <t xml:space="preserve">
The process of restoration of skills by a person who has had an illness or injury so as to regain maximum self-sufficiency and function in a normal or as near normal manner as possible. For example, rehabilitation after a stroke may help the patient walk again and speak clearly again.
    </t>
  </si>
  <si>
    <t>Reinstate Effect Type</t>
  </si>
  <si>
    <t xml:space="preserve">
A description of the impact (effect) that a contract reinstatement caused. An example would be to apply premiums to bring any negative cash value positive or Zero a negative cash value.
    </t>
  </si>
  <si>
    <t>Reinstatement</t>
  </si>
  <si>
    <t xml:space="preserve">
Restoration of coverage under a contract.
    </t>
  </si>
  <si>
    <t>Reinstatement Brokerage Percentage</t>
  </si>
  <si>
    <t xml:space="preserve">
The percentage of reinstatement premiums that will be deducted as brokerage.
    </t>
  </si>
  <si>
    <t>Reinstatement Limit</t>
  </si>
  <si>
    <t xml:space="preserve">
Reinstatement is a provision in an excess of loss reinsurance contract, particularly catastrophe and clash covers, that provides for reinstatement of a limit that had been reduced by the occurrence of a loss or losses. The number of times that the limit can be reinstated varies, as does the cost of the reinstatement.
    </t>
  </si>
  <si>
    <t>Reinstatement Premium</t>
  </si>
  <si>
    <t xml:space="preserve">
The premium payable to restore the coverage under a contract.
    </t>
  </si>
  <si>
    <t>Reinsurance Agreement</t>
  </si>
  <si>
    <t xml:space="preserve">
This concept represents the agreement between a cedent and a reinsurer.
The two basic methods of reinsurance are Facultative and Treaty. Within the scope of each of these two methods, there are two broad types - Proportional (or contributing) reinsurance and Non-Proportional (or non-contributing) reinsurance.
Facultative reinsurance is an optional method, under which the direct insurer (ceding company or cedent) offers each risk individually to the reinsurer for his consideration. The reinsurer consequently receives full details of each risk offered, as he would if he were to write it on a direct basis, and he has the option to reject the offer or to agree to acceptance on such terms and conditions as he may prescribe. The offer and acceptance are thus optional on both sides, and there is no valid contract until and unless the offer is accepted. 
Treaty reinsurance is an obligatory method based on an agreement concluded for a specified period of time (usually 12-month period, renewable annually) covering a defined concept or concepts of business. Details of individual risks are not provided (barring exceptional cases providing for submission of bordereaux). The cedent is obliged to cede all risks falling within the scope of the agreement, and the reinsurer is obliged to accept all such cessions without the option to decline or to ask for improved terms. Offer and acceptance are thus automatic, and the offer becomes a contract as soon as it is made (rather than as soon as it is accepted - as under the facultative method).
Proportional (synonyms: share reinsurance or pro rata reinsurance) and Non-proportional reinsurance:
Under proportional reinsurance, the cedent and the reinsurer share the original risk on pro rata basis, and they also share the premiums and claims in the same proportion. This concept could be applied to an individual risk (facultative) or to a number of risks covered by a single contract (treaty). There is thus a complete community of interest between the parties to the contract.
Basic methods and types of reinsurance: 
 Facultative:
 - Proportional = Proportional facultative
 - Non-Proportional = Risk Excess, Layered Cover, Facultative Stop Loss
 Treaty:
 - Proportional = Quota Share, Surplus, Combined Quota-cum-Surplus
 - Non-Proportional = Per Risk Excess of Loss, Working Excess of Loss, Catastrophe Excess of Loss, Aggregate Excess of Loss (Stop Loss)
 Semi-automatic arrangements:
 - Proportional = Automatic Facultative Cover, Facultative Obligatory Cover, Line Slip
 - Non-Proportional = Coded Excess of Loss, Excess of Loss Line Slip
Inception date = Commencement date of the contract.
Expiration date = Date of cessation of a reinsurance cover, when the time period for which it was written has ended. A treaty written on a "continuous until canceled" basis does not expire automatically but will contain a provision for termination.
    </t>
  </si>
  <si>
    <t>Reinsurance Agreement  Quota Share Per Claim Percentage</t>
  </si>
  <si>
    <t xml:space="preserve">
The fixed percentage per claim that will be paid by the reinsurer based on this reinsurance agreement. 
Is derived from the information in the deductibles that are linked to this reinsurance agreement.
    </t>
  </si>
  <si>
    <t>Reinsurance Brokerage</t>
  </si>
  <si>
    <t xml:space="preserve">
This concept states an organization's role as a reinsurance brokerage.
Legislation in most countries requires authorization of direct producers (both agents and brokers) and regulation of their activities. No such restrictions have applied historically to reinsurance brokers for two reasons: 
a) Reinsurance broking is an activity which extends beyond national borders (often involving two countries, where co-broking is done with correspondent brokers) and, if it were to be regulated, it would be subject to numerous jurisdictions, and 
b) Regulatory legislation is prompted by concern for the security of retail insurance customers and the public in general. Reinsurance contracts do not involve this concern as they are agreements between two professionals with expert knowledge of the business transacted by them. This situation is however changing to some extent and regulations are being framed to cover: 
- minimum capital requirements, 
- minimum solvency margin, 
- proof of adequate professional indemnity insurance coverage (based on turnover, with a ceiling on maximum permitted self-insured deductible), 
- proof of professional insurance qualifications of the directors, 
- segregation of own funds from fiduciary funds, 
- submission of prescribed audited returns to the regulator, and access of regulatory authorities for inspection of records.
Historically, reinsurance brokers have played a significant role in the development of London as a global reinsurance center. The majority of London reinsurance brokers are subsidiaries of larger direct producer and risk management groups but operate quite independently, some being specialized in certain concepts of business. Owing to the international scope of their activities, many travel extensively and some even maintain a network of overseas offices in addition to regular dealing with correspondent brokers in other countries. The role and functions of the reinsurance broker cover a wide field: 
- Collection and dissemination of up-to-date market intelligence as also firsthand information on individual companies so as to enhance the marketing base of participating cedents and reinsurers, 
- Technical assistance to cedents (inspection and rating of peak or complicated risks, drawing up of policy wordings and clauses, survey and processing of claims, fixing of retentions and treaty limits, devising of cost-effective reinsurance programs, screening of security of reinsurers and maintenance of an early warning system against potential defaults and bankruptcies),
- Negotiation of lead terms and quotes that are equitable and fair so as to ensure continuity and long term support from first concept security,
- Spreading the placement across a wide international spectrum with due regard to the special capabilities and expertise of various markets, 
- Conduct of renewal negotiations and reciprocal trading terms,
- Assistance in preparation and transmission of contract documents, accounts, reports and loss advices, 
- Assistance in settlement of bilateral accounts, currency management and investment of funds overseas, 
- Assistance in resolution of disputes, including the conduct of arbitration proceedings and court action - especially in case of existence of a language barrier or disputes between the countries of domicile of the parties to a dispute (the neutrality of the broker being an invaluable aid in avoiding otherwise delicate or embarrassing confrontations), 
- Technical aid in development of new or complex concepts of business, 
- Assistance in training of the staff of cedents, 
- Assistance in implementing latest available technology tools (including IT tools) for upgrading internal administrative and accounting procedures of the cedent and 
- Assistance in development of a mutually beneficial and satisfactory long term relationship between the cedent and his reinsurers.
    </t>
  </si>
  <si>
    <t>Reinsurance Claim</t>
  </si>
  <si>
    <t xml:space="preserve">
The identification of a claim as the result of another claim. In the context of a reinsurance agreement, it identifies the reinsurance claim that results from a primary claim.
e.g: Links primary claim to the reinsurance claim from DEF Insurance Company to Baltimore Reinsurance Company.
    </t>
  </si>
  <si>
    <t>Reinsurance Claim  Involved Claim Base</t>
  </si>
  <si>
    <t xml:space="preserve">
This represents the claim base (e.g. claim, claim offer, claim grouping, etc.) involved in a reinsurance claim.
    </t>
  </si>
  <si>
    <t>Reinsurance Commission</t>
  </si>
  <si>
    <t xml:space="preserve">
(1) Percentage of premium paid to the reinsurance intermediary; a ceding company expense.? Compare to ceding commissions, which are an expense to the assuming reinsurer.? (2) A profit commission paid to the cedent or the intermediary by the retrocessionaire.? See Contingent Commission.
    </t>
  </si>
  <si>
    <t>Reinsurance Commission Amount</t>
  </si>
  <si>
    <t xml:space="preserve">
Allowance made, usually expressed as a fixed percentage of premium, or as original of ceded as stipulated in the reinsurance contract, to cover part or all of a company's acquisition and other costs. The percentage is not linked to the result.
    </t>
  </si>
  <si>
    <t>Reinsurance Commissions</t>
  </si>
  <si>
    <t xml:space="preserve">
An allowance granted by the reinsurer on the gross premium received on the risk intended to be used to reimburse the primary insurance company for the commission paid to its agents, plus taxes and overhead.
    </t>
  </si>
  <si>
    <t>Reinsurance Company</t>
  </si>
  <si>
    <t xml:space="preserve">
An organization whose business it is to reinsure insurance and/or reinsurance agreements.
    </t>
  </si>
  <si>
    <t>Reinsurance Company  Lloyds Sub Syndicate Name</t>
  </si>
  <si>
    <t xml:space="preserve">
Name of the corresponding Lloyd's Sub Syndicate.
    </t>
  </si>
  <si>
    <t>Reinsurance Company  Lloyds Syndicate Name</t>
  </si>
  <si>
    <t xml:space="preserve">
Name of the corresponding Lloyd's Syndicate.
    </t>
  </si>
  <si>
    <t>Reinsurance Company  Market In Liquidation Indicator</t>
  </si>
  <si>
    <t xml:space="preserve">
MIL = Market In Liquidation.
Enables to indicate if a reinsurer is in liquidation.
    </t>
  </si>
  <si>
    <t>Reinsurance Contract Commission</t>
  </si>
  <si>
    <t xml:space="preserve">
Allowance made, usually expressed as a fixed percentage of premium, or as original of ceded as stipulated in the reinsurance contract, to cover part or all of a company's acquisition and other costs.
    </t>
  </si>
  <si>
    <t>Reinsurance Contract Overriding Commission</t>
  </si>
  <si>
    <t xml:space="preserve">
See Overriding Commission Amount.
    </t>
  </si>
  <si>
    <t>Reinsurance Deductions Amount</t>
  </si>
  <si>
    <t xml:space="preserve">
All other types of reinsurance deductions for which no specific identifying code has been defined. The type of deduction must be specified in an additional text field.
    </t>
  </si>
  <si>
    <t>Reinsurance Facultative Agreement</t>
  </si>
  <si>
    <t xml:space="preserve">
Facultative reinsurance is an optional method, under which the direct insurer (ceding company or cedent) offers each risk individually to the reinsurer for his consideration. The reinsurer consequently receives full details of each risk offered, as he would if he were to write it on a direct basis, and he has the option to reject the offer or to agree to acceptance on such terms and conditions as he may prescribe. The offer and acceptance are thus optional on both sides, and there is no valid contract until and unless the offer is accepted.
Facultative reinsurance is the oldest form of reinsurance, having been derived from the concept of coinsurance or sharing of an individual risk by a number of insurers. The basic difference between the two methods is that under the facultative method it is only the primary insurer who has a contractual liability under the original insurance whereas, under coinsurance, each participating insurer has a direct and individual relationship with the original insured - although without any joint or collective liability.
The word 'facultative' means 'optional' or as implying a faculty, that is a 'facility or power to act according to a free choice'. In the early days of reinsurance (up to the middle of the 19th century), reinsurance in UK was effected facultatively between one direct office and another - usually on the basis of reciprocal support through an exchange of risks. However, this situation gave rise to worry in the minds of primary insurers that they were disclosing too much information on their book of business to competitors. This problem was resolved with the emergence of professional reinsurers, who posed no threat of direct competition.
The problem of confidentiality was further eased with the development of the treaty method, which enabled direct insurers to purchase reinsurance without disclosing sensitive details of each risk to the reinsurer. Despite extensive use of treaties, the facultative method is however still employed today owing to the expanding size of risks as also the increase in their hazard and complexity, leading to greater need for consultation between cedent and reinsurer. 
Facultative reinsurance types:
- Proportional = Proportional facultative
- Non-Proportional = Risk Excess, Layered Cover, Facultative Stop Loss
    </t>
  </si>
  <si>
    <t>Reinsurance Facultative Agreement  Commission Rate</t>
  </si>
  <si>
    <t xml:space="preserve">
(1) For "ceding commission": A percentage of the premiums due under a reinsurance contract that the reinsured party retains to cover costs incurred in their role as the insurer of the risk/s ceded to the contract.
(2) For "broker commission": A percentage of the premiums due under a reinsurance contract that the broker retains to cover the costs of  acting as an intermediary in the placing and servicing of risk/s ceded to that contract.
    </t>
  </si>
  <si>
    <t>Reinsurance Facultative Agreement  Reinsured Insurance Agreement</t>
  </si>
  <si>
    <t xml:space="preserve">
This represents the insurance agreement reinsured by a reinsurance facultative agreement.
    </t>
  </si>
  <si>
    <t>Reinsurance intermediary</t>
  </si>
  <si>
    <t xml:space="preserve">
Intermediary party between ceding company and reinsurance.
    </t>
  </si>
  <si>
    <t>Reinsurance Program</t>
  </si>
  <si>
    <t xml:space="preserve">
A reinsurance plan enables to define the reinsurance policy of a ceding company. It is made of reinsurance contracts.
    </t>
  </si>
  <si>
    <t>Reinsurance Program  At Risk Limit Amount</t>
  </si>
  <si>
    <t xml:space="preserve">
Limit amount up to which reinsurance will be arranged according to a particular reinsurance plan.
    </t>
  </si>
  <si>
    <t>Reinsurance Program  Final Retention Amount</t>
  </si>
  <si>
    <t xml:space="preserve">
Final amount that a reinsured party retained before reinsurance policy/s defined with a particular reinsurance plan assume coverage for risks written.
    </t>
  </si>
  <si>
    <t>Reinsurance Program  Final Retention Objective Amount</t>
  </si>
  <si>
    <t xml:space="preserve">
Amount that a reinsured party aimed to retain before reinsurance policy/s defined with a particular reinsurance plan assume coverage for risks written.
    </t>
  </si>
  <si>
    <t>Reinsurance Recovery Amount</t>
  </si>
  <si>
    <t xml:space="preserve">
Total amount which the insurance company has so far obtained in respect of the claim under all reinsurance treaties.
    </t>
  </si>
  <si>
    <t>Reinsurance Treaty Agreement</t>
  </si>
  <si>
    <t xml:space="preserve">
A reinsurance treaty is a reinsurance convention between an insurer and a reinsurer defining the terms under which the risks covered by the convention are ceded and accepted.
The two main categories of treaty reinsurance are proportional and non-proportional. 
Treaty reinsurance is an obligatory method based on an agreement concluded for a specified period of time (usually 12-month period, renewable annually) covering a defined concept or concepts of business. Details of individual risks are not provided (barring exceptional cases providing for submission of bordereaux). The cedent is obliged to cede all risks falling within the scope of the agreement, and the reinsurer is obliged to accept all such cessions without the option to decline or to ask for improved terms. Offer and acceptance are thus automatic, and the offer becomes a contract as soon as it is made (rather than as soon as it is accepted - as under the facultative method).
This concept is the parent concept for the different treaty concepts.
Treaty:
- Proportional = Quota Share, Surplus, Combined Quota-cum-Surplus
- Non-Proportional = Per Risk Excess of Loss, Working Excess of Loss, Catastrophe Excess of Loss, Aggregate Excess of Loss (Stop Loss)
    </t>
  </si>
  <si>
    <t>Reinsurance Treaty Agreement  Category Code</t>
  </si>
  <si>
    <t xml:space="preserve">
The values can be [ ReInsurance, CoReinsurance]
    </t>
  </si>
  <si>
    <t>Reinsurance Treaty Agreement  Risk</t>
  </si>
  <si>
    <t xml:space="preserve">
A term used to denote the physical units of property at risk or the object of insurance protection and not Perils or Hazard. Reinsurance by tradition permits each insurance company to frame its own rules for defining units of Risks. The word is also defined as chance of loss or uncertainty of loss.
    </t>
  </si>
  <si>
    <t>Reinsurance Treaty Agreement Status</t>
  </si>
  <si>
    <t xml:space="preserve">
This represents the status of a reinsurance treaty agreement.
    </t>
  </si>
  <si>
    <t>Reinsurance Treaty Agreement Status  Code</t>
  </si>
  <si>
    <t xml:space="preserve">
Values are [ "closed", "Valid", "Simulation"]
    </t>
  </si>
  <si>
    <t>Reinsurer</t>
  </si>
  <si>
    <t xml:space="preserve">
An insurance company that assumes all or part of an insurance or reinsurance contract written by a primary insurance company (cedent).
SOURCE: Barron's
A reinsurer is a company, pool or syndicate of underwriting individuals who assume risks from primary insurers or otherwise provide reinsurance protection. A company accepting reinsurance could be the Reinsurance department of a primary insurer or a professional reinsurer, who does not deal with the public.
This concept is also used to define a retrocessionaire (the assuming reinsurer in a contract of retrocession accepted from a retrocedent).
A retrocession is the transaction whereby a reinsurer transfers a portion of his reinsurance acceptance to another reinsurer (known as the Retrocessionaire).
    </t>
  </si>
  <si>
    <t>Reinsurer  Capacity Amount</t>
  </si>
  <si>
    <t xml:space="preserve">
The capacity amount associated with the reinsurance agreement and may be any one of the following:
(1) largest amount of Reinsurance available from a company or from the general market; (2) large amounts of reinsurance on one risk; or (3) maximum premium volume that can be written by a reinsurer.
    </t>
  </si>
  <si>
    <t>Reinsurer  Capacity Description</t>
  </si>
  <si>
    <t xml:space="preserve">
A description of the capacity associated with the reinsurance agreement. The capacity is reflected as one of the following:
(1) largest amount of Reinsurance available from a company or from the general market; (2) large amounts of reinsurance on one risk; or (3) maximum premium volume that can be written by a reinsurer.
    </t>
  </si>
  <si>
    <t>Reinsurer  Placement Description</t>
  </si>
  <si>
    <t xml:space="preserve">
Description of the Reinsurer Placement
    </t>
  </si>
  <si>
    <t>Reinsurer  Share Percentage</t>
  </si>
  <si>
    <t xml:space="preserve">
Share of the Reinsurer in the Treaty.
Written Line: The amount of a risk that an Insurer or Reinsurer has agreed to accept.
Signed Line: The underwriter's participation in a risk after the lines have been reduced, as necessary, to total 100% of the actual amount at risk. This refers to the amount of a given risk that an underwriter has agreed to accept. It may be the same as the underwriter's written line or, if there is signing down, a lower amount.
    </t>
  </si>
  <si>
    <t>Reinsurer Type</t>
  </si>
  <si>
    <t xml:space="preserve">
Type of the reinsurer.
Values are [ "CoReinsurer", "Reinsurer", Aperitor" ].
    </t>
  </si>
  <si>
    <t>Reinsurer's Insurance Agent Commission Amount</t>
  </si>
  <si>
    <t xml:space="preserve">
Reinsurer's contribution in the allowance made by the insurer to agents for their insurance placement services. Specific for some countries (e.g. Hong Kong and Taiwan).
    </t>
  </si>
  <si>
    <t>Relationship Stage</t>
  </si>
  <si>
    <t xml:space="preserve">
A point in the cycle of a party's customer relationship with the modeled organization based on a customer life-cycle model.
e.g: Courtesy: Courteous treatment of a business partner. 
e.g: Reciprocity: Granting reciprocity to a reinsurer for reinsurance requirements. 
e.g: Jane Doe needs intensive care.
    </t>
  </si>
  <si>
    <t>Relationship Stage  Rating Code</t>
  </si>
  <si>
    <t xml:space="preserve">
The stage of the relationship as selected from the stages defined within the Customer Relationship Management (CRM) model being used. 
e.g: Account Management. 
e.g: Divorce. 
e.g: Get to know. 
e.g: Intensive Care. 
e.g: Targeting. 
e.g: Welcoming. 
e.g: Winback
    </t>
  </si>
  <si>
    <t>Relay Service Provider</t>
  </si>
  <si>
    <t xml:space="preserve">
An organization that provides the relay service, converting speech to text via teletype and vice-versa.
    </t>
  </si>
  <si>
    <t>Renewable Term Life Insurance</t>
  </si>
  <si>
    <t xml:space="preserve">
Coverage that is renewable at the option of the insured, who is not required to take a medical examination.
    </t>
  </si>
  <si>
    <t>Renewal</t>
  </si>
  <si>
    <t xml:space="preserve">
The reinstatement or continuation of a contract that is about to expire.
    </t>
  </si>
  <si>
    <t>Repair</t>
  </si>
  <si>
    <t xml:space="preserve">
The activity of repairing damage.
    </t>
  </si>
  <si>
    <t>Repair Service Provider</t>
  </si>
  <si>
    <t xml:space="preserve">
This concept states one organization's role as a repair service provider.
e.g. garage
    </t>
  </si>
  <si>
    <t>Repair Service Relationship</t>
  </si>
  <si>
    <t xml:space="preserve">
This concept defines a repair service relationship.
    </t>
  </si>
  <si>
    <t>Reparations</t>
  </si>
  <si>
    <t xml:space="preserve">
Payment made by an insurer due to a loss that caused harm to the claimant.
    </t>
  </si>
  <si>
    <t>Replacement Contract</t>
  </si>
  <si>
    <t xml:space="preserve">
A contract that has been issued to replace one currently in force.
    </t>
  </si>
  <si>
    <t>Replacement Money Transfer</t>
  </si>
  <si>
    <t xml:space="preserve">
Transferring money from one contract to another during a replacement.
    </t>
  </si>
  <si>
    <t>Reportable Contribution</t>
  </si>
  <si>
    <t xml:space="preserve">
Additional funds deposited into an insurance contract that may only be claimed for tax purposes during the current year.
    </t>
  </si>
  <si>
    <t>Repository Service Operator</t>
  </si>
  <si>
    <t xml:space="preserve">
For usage of the ACORD Document Repository Interface standard, the repository service operator is the organization that manages infrastructure for the management of documents that are exchanged. The document is stored in a "repository" of content.
    </t>
  </si>
  <si>
    <t>Representative</t>
  </si>
  <si>
    <t xml:space="preserve">
This concept defines the representative role. For example : representative of an Organization or a BusinessEstablishment.
    </t>
  </si>
  <si>
    <t>Representative  Representation</t>
  </si>
  <si>
    <t xml:space="preserve">
This represents the legal representation in which the representative participates.
    </t>
  </si>
  <si>
    <t>Represented Party</t>
  </si>
  <si>
    <t xml:space="preserve">
The role played by a party being represented by another party.
e.g. Jane Doe was involved in an accident, which led to an insurance claim, which led to litigation and the need for legal representation by an attorney. Jane Doe is the represented party.
    </t>
  </si>
  <si>
    <t>Represented Party  Representation</t>
  </si>
  <si>
    <t xml:space="preserve">
This represents the legal representation in which the represented party participates.
    </t>
  </si>
  <si>
    <t>Requester</t>
  </si>
  <si>
    <t xml:space="preserve">
A person who submits a request to create or modify an existing agreement, or for executing a transaction or service according to the terms and conditions of an agreement. Example: Gregory Michael , as requester of a partial surrender of his life contract.
    </t>
  </si>
  <si>
    <t>Required Minimum Distribution (RMD)</t>
  </si>
  <si>
    <t xml:space="preserve">
US tax code requirement, that an individual must withdraw a minimum sum annually from retirement savings that have accumulated on a tax-deferred basis. This withdrawal must begin by April 1 of the year one reaches age 70 1/2.
    </t>
  </si>
  <si>
    <t>Requisite Association</t>
  </si>
  <si>
    <t xml:space="preserve">
This class identifies if there is dependency between two product specification components. If the originating product association is to be used on an agreement, the agreement must include the related product association.
    </t>
  </si>
  <si>
    <t>Reserve Account</t>
  </si>
  <si>
    <t xml:space="preserve">
An amount of money that is kept by the modeled organization to fulfill future liabilities, most often for claims.
e.g: Catastrophe reserve. 
e.g: Claim reserve, a provision set aside to pay for a claim before the precise estimates of the damage are known. 
e.g: Defense reserve, a provision for expenses used to defend a claim. 
e.g: Exception reserve, is used for excess of limit or no coverage benefits. 
e.g: IBNR reserve, a  provision for incurred but not reported claims. 
e.g: Loss reserve, a provision for claims due but not paid or for known claims not yet due. 
e.g: Matured Capital to be paid. 
e.g: Medical reserve, a provision for claims under Workers Compensation. 
e.g: Surrenders to be paid.
    </t>
  </si>
  <si>
    <t>Reserve Entry Detail</t>
  </si>
  <si>
    <t xml:space="preserve">
This subtype generalizes information that applies to all types of reserve entries, especially claims reserves.
As of August, 2010, only ClaimReserveEntry exists as a subtype, but theoretically, there are other types of reserves (e.g., allocation of funds for capital projects) that implementers will create.
    </t>
  </si>
  <si>
    <t>Reserve Entry Detail  Calculation Method Code</t>
  </si>
  <si>
    <t xml:space="preserve">
Identifies the method to be used for calculating the reserve. 
e.g: Conventional 
e.g: Pseudo-premium 
e.g: Zillmerised
    </t>
  </si>
  <si>
    <t>Reserve Entry Detail  Nature Of Provision Code</t>
  </si>
  <si>
    <t xml:space="preserve">
Categorization of the purpose of the reserve. 
e.g: Provision for employee benefits 
e.g: Provision for income taxes 
e.g: Provision for insurance policy liabilities 
e.g: Provision for restructuring (e.g. termination of a line of business, merger/acquisition) 
e.g: Provision for settlement of a lawsuit.
    </t>
  </si>
  <si>
    <t>Reserve Function</t>
  </si>
  <si>
    <t xml:space="preserve">
The method used to calculate reserves. Examples include: Continuous, curtate, discounted and immediate payment of claims.
    </t>
  </si>
  <si>
    <t>Residence Type</t>
  </si>
  <si>
    <t xml:space="preserve">
A classification specifying the type, not design style, of premises in which the insured/applicant resides, such as an apartment, mobile home, farm, etc.
    </t>
  </si>
  <si>
    <t>Residency</t>
  </si>
  <si>
    <t xml:space="preserve">
Residency is the act of establishing or maintaining a residence in a given place.
    </t>
  </si>
  <si>
    <t>Residency  Place</t>
  </si>
  <si>
    <t xml:space="preserve">
This represents a place of residency (e.g. country, state, province, etc.).
    </t>
  </si>
  <si>
    <t>Resident Registration</t>
  </si>
  <si>
    <t xml:space="preserve">
This concept defines the characteristics of a resident registration of a person.
For example, in the USA a Green Card or Permanent Resident Card is the card that shows that someone who is not a United States citizen is a permanent resident of the United States. The holder of the card is allowed to live, work and study in the United States.
    </t>
  </si>
  <si>
    <t>Residual Disability</t>
  </si>
  <si>
    <t xml:space="preserve">
Disability which becomes defined as temporary and partial disability when an insured has returned to work immediately following a period of temporary and total disability.
    </t>
  </si>
  <si>
    <t>Residual Market Plan</t>
  </si>
  <si>
    <t xml:space="preserve">
A mechanism in which individuals or businesses who cannot obtain conventional insurance are provided coverage.
    </t>
  </si>
  <si>
    <t>Respite Care</t>
  </si>
  <si>
    <t xml:space="preserve">
Associated with Hospice care, respite care is about helping the family members of a patient whereby the family is provided with a break or respite from caring for the patient.
    </t>
  </si>
  <si>
    <t>Responsible Party</t>
  </si>
  <si>
    <t xml:space="preserve">
This party role represents the party responsible for the event (e.g. the party that caused the event to occur).
    </t>
  </si>
  <si>
    <t>Restricted Work Period</t>
  </si>
  <si>
    <t xml:space="preserve">
A period of time the party was engaged in controlled work duties as a result of this incident.
    </t>
  </si>
  <si>
    <t>Retail Bank Market</t>
  </si>
  <si>
    <t xml:space="preserve">
The retail banking marketplace, where insurance products are offered in the traditional bank channel.
    </t>
  </si>
  <si>
    <t>Retained Commission</t>
  </si>
  <si>
    <t xml:space="preserve">
In Life Insurance, commissions that are held by the agent, when the application and corresponding money are sent in to the insurer.
    </t>
  </si>
  <si>
    <t>Retention</t>
  </si>
  <si>
    <t xml:space="preserve">
The amount of insurance liability (in pro rata, for participation with the reinsurer) or loss (in excess of loss, for indemnity of excess loss by the reinsurer) which an insurer assumes (or retains) for its own account.
    </t>
  </si>
  <si>
    <t>Retention Component</t>
  </si>
  <si>
    <t xml:space="preserve">
Insurance retention requirements are intended to encourage insured parties to take steps to avoid losses and typically result in savings for both the insured party and the insurer.  For example, the deductible under a homeowners or renters policy or under an auto insurance policy is considered a type of retention.
    </t>
  </si>
  <si>
    <t>Retention Component  Amount</t>
  </si>
  <si>
    <t xml:space="preserve">
The retention expressed as a currency amount.
    </t>
  </si>
  <si>
    <t>Retention Component  Duration</t>
  </si>
  <si>
    <t xml:space="preserve">
The retention expressed in time units (e.g. 30 days).
    </t>
  </si>
  <si>
    <t>Retention Component  Percentage</t>
  </si>
  <si>
    <t xml:space="preserve">
The retention expressed as a percent.
    </t>
  </si>
  <si>
    <t>Retrocession</t>
  </si>
  <si>
    <t xml:space="preserve">
The transfer of assumed reinsurance to another reinsurer; the further spreading of a large risk assumed by a reinsurer among other reinsurance companies.
    </t>
  </si>
  <si>
    <t>Retrocessionaire</t>
  </si>
  <si>
    <t xml:space="preserve">
A reinsurer that contractually assumes all or part of a reinsurance risk from another reinsurer. The transfer is known as retrocession.
    </t>
  </si>
  <si>
    <t>Return Premium</t>
  </si>
  <si>
    <t xml:space="preserve">
The portion of the premium returned as a result of cancellation, rate adjustment, deletion, reduction in coverage, experience refund, an error in calculation of the initial premium, etc.
    </t>
  </si>
  <si>
    <t>Revenue Account</t>
  </si>
  <si>
    <t xml:space="preserve">
An account summarizing or listing income items. This is a generalized sales account that implementers may want to subtype for the specific kinds of revenue accounts needed (e.g., campaign results, acquisition results, organization change results).
e.g: The account related to all written premiums generated as the result of a campaign.
    </t>
  </si>
  <si>
    <t>Reversionary Bonus</t>
  </si>
  <si>
    <t xml:space="preserve">
Additional benefit to the basic sum insured in life insurance, payable (normally yearly) to a contractholder. The bonus is a share in the profits or surplus of the insurer. The profit sharing amount is proportional to the underwriting reserves without increasing the premiums paid. This bonus is invariably used to buy more life coverage.
    </t>
  </si>
  <si>
    <t>RFP</t>
  </si>
  <si>
    <t xml:space="preserve">
Registered Financial Planner (RFP)
    </t>
  </si>
  <si>
    <t>RHU</t>
  </si>
  <si>
    <t xml:space="preserve">
Registered Health Underwriter (RHU)
    </t>
  </si>
  <si>
    <t>RIBA-3</t>
  </si>
  <si>
    <t xml:space="preserve">
Recombinant Immunoblot Assay-3 (RIBA-3)
    </t>
  </si>
  <si>
    <t>Rider</t>
  </si>
  <si>
    <t>RIMS</t>
  </si>
  <si>
    <t xml:space="preserve">
Risk Management Society (RIMS)
    </t>
  </si>
  <si>
    <t>Risk Agreement</t>
  </si>
  <si>
    <t xml:space="preserve">
A mutual understanding between insurer and other involved parties, both internal and external, each committing themselves to fulfill one or more risk obligations.
This agreement is done in a free form fashion without the use of a Product Specification.
    </t>
  </si>
  <si>
    <t>Risk Agreement  Approval Date Time</t>
  </si>
  <si>
    <t xml:space="preserve">
The date (and time) at which this risk agreement has been approved.
    </t>
  </si>
  <si>
    <t>Risk Agreement  Description</t>
  </si>
  <si>
    <t xml:space="preserve">
A free-text description of this risk agreement purpose and principles.
    </t>
  </si>
  <si>
    <t>Risk Assessment</t>
  </si>
  <si>
    <t xml:space="preserve">
An assessment concerned with determining the degree, probability, exposure or contributing factors of a risk.
    </t>
  </si>
  <si>
    <t>Risk Assessment  Type Code</t>
  </si>
  <si>
    <t xml:space="preserve">
This represents a type of risk assessment concerning determination of the degree, probability, exposure or contributing factors of a risk (e.g. credit assessment, loyalty assessment, etc.).
    </t>
  </si>
  <si>
    <t>Risk Estimate</t>
  </si>
  <si>
    <t xml:space="preserve">
The estimate of the possible loss for a risk exposure.
    </t>
  </si>
  <si>
    <t>Risk Excess Facultative Agreement</t>
  </si>
  <si>
    <t xml:space="preserve">
Reinsurance and retained limits apply per risk as opposed to per occurrence or in the aggregate. Use of this method for placement of extremely large or complex risks has been given an impetus by:
- Insufficient proportional capacity in the international reinsurance market,
- Disparities between the original rate and the global rate expected by reinsurers, and 
- The drive by insurers to optimize efficient deployment of capital by maximizing retention. 
Under this method, the loss potential of a single risk from any one loss into two layers above and below the Excess Point:
- Underlying Layer (Deductible or Loss Retention or Priority) - portion of each loss retained by the reassured on a first loss basis); and
- Limit of Indemnity - the excess over the Deductible borne by the Reinsurer up to a stipulated limit.
The subject matter insured is the Ultimate Net Loss, which is defined as meaning all sums actually paid by the Reinsured in respect of the loss including expenses of litigation and all other loss expenses but excluding office expenses and salaries of his employees. Salvages, third party recoveries and collections under prior proportional reinsurances shall first be deducted.
The Risk Excess is distinct from Per Risk Excess of Loss and Working Excess of Loss, which are treaty methods employed for protection of all the individual risks comprised in a whole defined portfolio - rather than a specified individual risk.
The trigger for attachment of Reinsurer's liability under a Risk Excess is each loss. It is accordingly necessary to define this term because an accumulation of otherwise separate but arguably simultaneous losses can be caused by a single event (such as a riot or a natural calamity) affecting one and the same risk. Whereas a loss occurrence is defined in both temporal and spatial terms under the Hours Clause, all that is required under a Risk Excess is a temporal definition as the area covered is the specific location of the risk. 
If the Risk Excess method is used to handle a risk which itself is originally insured on First Loss basis for a fraction of the theoretical Value at Risk, the Indemnity may be so pegged that, when added to the Deductible, the resulting total is equivalent to the First Loss Limit of Liability relating to the facultative portion - regardless of the Value at Risk. However, if the risk is insured for the full Value at Risk (Total Sum Insured) but is underwritten on a Probable Maximum Loss (PML) basis, it must be remembered that the insurer is nevertheless liable up to the full TSI - plus costs such as survey and adjustment charges, legal fees etc. Therefore, where there is a possibility of PML error, the Indemnity is stretched further - often up to the full TSI - by purchasing a relatively cheap sleep easy top layer.
    </t>
  </si>
  <si>
    <t>Risk Exposure</t>
  </si>
  <si>
    <t xml:space="preserve">
An exposure to a risk; the possibility, or likelihood, of a damage or a loss to occur. 
It identifies that a business model object, or a set of business model objects, is exposed to a peril category.
    </t>
  </si>
  <si>
    <t>Risk Exposure  Exposure Period</t>
  </si>
  <si>
    <t xml:space="preserve">
The duration of exposure to the risk relevant to the modeled organization.  
For example, for insurable risk, the duration in which insurance coverage is provided for the insurable risk. The initial value of the duration start date of the risk exposure is derivable from the object that implies the risk, it can be changed to re slice the total risk exposure period for risk management purposes.
    </t>
  </si>
  <si>
    <t>Risk Exposure  Identified Agreement Base</t>
  </si>
  <si>
    <t xml:space="preserve">
This represents an agreement or agreement component identified by a risk exposure.
    </t>
  </si>
  <si>
    <t>Risk Exposure  Identified Peril</t>
  </si>
  <si>
    <t xml:space="preserve">
This represents the peril identified by a risk exposure.
    </t>
  </si>
  <si>
    <t>Risk Exposure  Identified Risk</t>
  </si>
  <si>
    <t xml:space="preserve">
This represents the risk identified by the risk exposure.
    </t>
  </si>
  <si>
    <t>Risk Factor Score</t>
  </si>
  <si>
    <t xml:space="preserve">
The rating of characteristics that have an impact on the likelihood of loss to occur. 
The rating of factors that contribute to risk.
    </t>
  </si>
  <si>
    <t>Risk Factor Score  Estimated Risk Agreement</t>
  </si>
  <si>
    <t xml:space="preserve">
This represents the risk agreement to which the risk factor score was estimated.
    </t>
  </si>
  <si>
    <t>Risk Factor Score  Risk Percentage</t>
  </si>
  <si>
    <t xml:space="preserve">
Consolidated rating for this risk factor score expressed as a percentage.
    </t>
  </si>
  <si>
    <t>Risk Group</t>
  </si>
  <si>
    <t xml:space="preserve">
Group of people with similar risk characteristics
    </t>
  </si>
  <si>
    <t>Risk Location</t>
  </si>
  <si>
    <t xml:space="preserve">
The location of where the risk, either person or property, is domiciled. E.g. the physical location for where a car is garaged.
    </t>
  </si>
  <si>
    <t>Risk Manager</t>
  </si>
  <si>
    <t xml:space="preserve">
The organization that is managing the risk.  It may be the modeled organization itself or a sub-organization (line of business, organization unit, geographical  division, etc) thereof.
    </t>
  </si>
  <si>
    <t>Risk Type</t>
  </si>
  <si>
    <t xml:space="preserve">
Coded identification of the type of risk under which the claim has been advised.
    </t>
  </si>
  <si>
    <t>RMD</t>
  </si>
  <si>
    <t xml:space="preserve">
Required Minimum Distribution (RMD)
    </t>
  </si>
  <si>
    <t>RN</t>
  </si>
  <si>
    <t xml:space="preserve">
Registered Nurse (RN)
    </t>
  </si>
  <si>
    <t>Role</t>
  </si>
  <si>
    <t xml:space="preserve">
This concept is the generalizing concept of all types of roles. A role is the function assumed or part played by a party or physical object in a given context (e.g. the context of an agreement, relationship or other particular association).  E.g. Jane Doe is person who, in the context an insurance agreement, may play the role of "insured" and "driver".
    </t>
  </si>
  <si>
    <t>Role  Description</t>
  </si>
  <si>
    <t xml:space="preserve">
Free text describing the role
    </t>
  </si>
  <si>
    <t>Role  Player Role</t>
  </si>
  <si>
    <t xml:space="preserve">
This represents the role player playing a role.
For example, an "insurance producer" (role) playing the role of "agreement producer" on an insurance agreement. The "insurance producer" role is the "playerRole".
    </t>
  </si>
  <si>
    <t>Role Category</t>
  </si>
  <si>
    <t xml:space="preserve">
A RoleCategory allows a finer grained delineation of roles to recognize the difference between the broad types of Roles that exist.
    </t>
  </si>
  <si>
    <t>Role Player</t>
  </si>
  <si>
    <t xml:space="preserve">
The role player is a classification used for different analytical purposes. It covers contractholder, Underwriter, Beneficiary, Insured, Premium Payer, and so on.
    </t>
  </si>
  <si>
    <t>Role Player Period</t>
  </si>
  <si>
    <t xml:space="preserve">
This is the time period from when the role player playing the role began playing the role (i.e. start date) and when it stopped playing the role (i.e. end date).
    </t>
  </si>
  <si>
    <t>Role Specification</t>
  </si>
  <si>
    <t xml:space="preserve">
This specification defines data needed  for a given subject associated with a product (e.g. party, physical object, place, activity, event - including related roles).
    </t>
  </si>
  <si>
    <t>Roof</t>
  </si>
  <si>
    <t xml:space="preserve">
This represents various aspects about the roof of a structure.
    </t>
  </si>
  <si>
    <t>Roof  Coverage Attachment Code</t>
  </si>
  <si>
    <t xml:space="preserve">
This indicates the type of attachment used to secure the roof cover material to the roof deck of the dwelling.
    </t>
  </si>
  <si>
    <t>Roof  Decking Attachment Code</t>
  </si>
  <si>
    <t xml:space="preserve">
This identifies the type of attachment used to secure the roof deck to the framing supports of the dwelling.
    </t>
  </si>
  <si>
    <t>Roof  Decking Material Code</t>
  </si>
  <si>
    <t xml:space="preserve">
This identifies the material used to construct a roof deck of a dwelling.
    </t>
  </si>
  <si>
    <t>Roof  Geometry Type Code</t>
  </si>
  <si>
    <t xml:space="preserve">
This identifies the architecture/geometry of the dwelling's roof.
    </t>
  </si>
  <si>
    <t>Roof  Material Type Code</t>
  </si>
  <si>
    <t>Roof  Solid Material Percentage</t>
  </si>
  <si>
    <t xml:space="preserve">
This defines the percentage of the solid material of the roof of the property.
    </t>
  </si>
  <si>
    <t>Roof  Wall Attachment Code</t>
  </si>
  <si>
    <t xml:space="preserve">
This identifies the type of connection used to attach the roof to the walls of a dwelling.
    </t>
  </si>
  <si>
    <t>Room</t>
  </si>
  <si>
    <t xml:space="preserve">
This represents various aspects about the room(s) of a structure.
    </t>
  </si>
  <si>
    <t>Room  Type Code</t>
  </si>
  <si>
    <t xml:space="preserve">
This indicates the type of room.
    </t>
  </si>
  <si>
    <t>RPA</t>
  </si>
  <si>
    <t xml:space="preserve">
Registered Physicians Assistant (RPA)
    </t>
  </si>
  <si>
    <t>RPA-C</t>
  </si>
  <si>
    <t xml:space="preserve">
Registered Physician's Assistant Certified (RPA-C)
    </t>
  </si>
  <si>
    <t>RPP</t>
  </si>
  <si>
    <t xml:space="preserve">
Reinsurance Premium Protection (RPP)
    </t>
  </si>
  <si>
    <t>RRIF</t>
  </si>
  <si>
    <t xml:space="preserve">
Registered Retirement Income Fund (RRIF)
    </t>
  </si>
  <si>
    <t>RRSP</t>
  </si>
  <si>
    <t xml:space="preserve">
Registered Retirement Savings Plan (RRSP)
    </t>
  </si>
  <si>
    <t>RRTF</t>
  </si>
  <si>
    <t xml:space="preserve">
REER Rente a Terme Fixe (RRTF)
    </t>
  </si>
  <si>
    <t>Runway</t>
  </si>
  <si>
    <t xml:space="preserve">
A runway is a defined rectangular area on a land aerodrome prepared for the landing and takeoff of aircraft.
    </t>
  </si>
  <si>
    <t>Runway  Material Type Code</t>
  </si>
  <si>
    <t xml:space="preserve">
This represents the runway material type (e.g. asphalt, concrete, etc.).
    </t>
  </si>
  <si>
    <t>Runway  Sealane Description</t>
  </si>
  <si>
    <t xml:space="preserve">
This represents the description of the sealane, also known as a water runway (e.g. an aircraft landing strip comprised of water).
    </t>
  </si>
  <si>
    <t>SAICB</t>
  </si>
  <si>
    <t xml:space="preserve">
South African Insurance Crime Bureau (SAICB)
    </t>
  </si>
  <si>
    <t>Salvage</t>
  </si>
  <si>
    <t xml:space="preserve">
Damaged property an insurer takes over to reduce its loss after paying a claim.
    </t>
  </si>
  <si>
    <t>Sand Storm</t>
  </si>
  <si>
    <t xml:space="preserve">
A windstorm (as in a desert) driving clouds of sand before it.
    </t>
  </si>
  <si>
    <t>SARSEP</t>
  </si>
  <si>
    <t xml:space="preserve">
Salary Reduction Simplified Employee Pension Plan (SARSEP)
    </t>
  </si>
  <si>
    <t>Satisfaction Score</t>
  </si>
  <si>
    <t xml:space="preserve">
A rating of a customer's satisfaction with the overall modeled organization or with specific insurance policies or marketable products. 
e.g: Mary Smith is satisfied.
    </t>
  </si>
  <si>
    <t>Satisfaction Score  Rating Code</t>
  </si>
  <si>
    <t xml:space="preserve">
The assessment of a party's overall satisfaction with the financial services company or a product or product group. 
e.g: Not satisfied. 
e.g: Very satisfied.
    </t>
  </si>
  <si>
    <t>SAUMA</t>
  </si>
  <si>
    <t xml:space="preserve">
South African Underwriting Managers Association (SAUMA)
    </t>
  </si>
  <si>
    <t>SBA</t>
  </si>
  <si>
    <t xml:space="preserve">
Small Business Administration (SBA)
    </t>
  </si>
  <si>
    <t>SBR</t>
  </si>
  <si>
    <t xml:space="preserve">
Standard Business Reporting (SBR)
    </t>
  </si>
  <si>
    <t>Schedule</t>
  </si>
  <si>
    <t xml:space="preserve">
A list of covered exposures/risks across insurance, such as surgical operations, dismemberment, homes, corporate operations, fractures, laboratory tests, drugs, x-ray services, and so on.
    </t>
  </si>
  <si>
    <t>Scheduled Change</t>
  </si>
  <si>
    <t xml:space="preserve">
Provides a schedule of changes to a particular coverage (i.e. specified amount increase, specified amount decrease, planned payment amount, etc.)
    </t>
  </si>
  <si>
    <t>Scheduled Item</t>
  </si>
  <si>
    <t xml:space="preserve">
This contains information about scheduled items as part of a contract.
    </t>
  </si>
  <si>
    <t>Score</t>
  </si>
  <si>
    <t xml:space="preserve">
A value associated with parties, places or activities that indicates assessed characteristics, in particular those characteristics that support marketing activities or represent risk factors.
    </t>
  </si>
  <si>
    <t>Score  Utilizing Product Specification</t>
  </si>
  <si>
    <t xml:space="preserve">
This represents the product specification (e.g. blueprint/design) utilizing a score.
    </t>
  </si>
  <si>
    <t>Score  Value</t>
  </si>
  <si>
    <t xml:space="preserve">
This represents the actual score value assigned by the party performing the assessment activity (e.g. a person's credit score of "725").
    </t>
  </si>
  <si>
    <t>SEC</t>
  </si>
  <si>
    <t xml:space="preserve">
Securities and Exchange Commission (SEC)
    </t>
  </si>
  <si>
    <t>Second Low Bidder</t>
  </si>
  <si>
    <t xml:space="preserve">
This is the person or organization identified as the second lowest bidder.
    </t>
  </si>
  <si>
    <t>Second Surgical Opinion</t>
  </si>
  <si>
    <t xml:space="preserve">
Process that records a consulting physician's evaluation of the need for surgery that another physician has recommended.
    </t>
  </si>
  <si>
    <t>Secondary Health Care</t>
  </si>
  <si>
    <t xml:space="preserve">
Specialized ambulatory care and common place hospital care (outpatient care and inpatient care services). Access is often via referral from primary health care services. Does not include highly specialized, technical inpatient medical services.
    </t>
  </si>
  <si>
    <t>Section 1035 Exchange</t>
  </si>
  <si>
    <t xml:space="preserve">
In the United States, a tax free replacement of an insurance contract for another insurance contract covering the same person that is performed in accordance with the conditions of Section 1035 of the Internal Revenue Code.
    </t>
  </si>
  <si>
    <t>Securities And Exchange Commission Annual Premium</t>
  </si>
  <si>
    <t xml:space="preserve">
The Securities and Exchange Commission annual premium. It is calculated with a 5% interest assumption and? used to test the 'reasonableness' of the surrender charges on a VUL contract.? This property only applies to policies that are Variable Universal Life
    </t>
  </si>
  <si>
    <t>Self Insured Retention Component</t>
  </si>
  <si>
    <t xml:space="preserve">
Self-insured retentions (SIRs) and deductibles are similar in that both require the insured to bear financial responsibility for a portion of a loss and, in this regard, represent an exposure that is not covered by insurance. However, there are important differences in the way they operate.
Insurance policies written with deductibles provide that the insurer will pay the defense and indemnity costs in connection with a covered claim, and then charge or bill back the deductible amount to the insured. In other words, the "deductible" is a sum that is subtracted from the insurer's indemnity and/or defense obligation under the policy. Importantly, the responsibility for the defense and settlement of each claim rests solely with the insurer, and the insurer maintains control over the entire claim process.
Policies written with large self-insured retentions, in contrast, may place responsibility for claims handling, including the investigation, settlement and payment of claims, in the hands of the insured. Under a policy with an SIR, the insured is typically required to pay the defense and other allocated expense costs as well as indemnity payments until the amount of the retention has been exhausted. Once the SIR has been exhausted, the insurer responds to the loss and assumes control of the claim.
Self-insured retentions are distinct from deductibles in at least one important respect: The insured whose coverage is subject to a self-insured retention generally is obligated to retain its own defense counsel. Indeed, in a self-insurance arrangement the claims-handling generally is controlled by the insured, an independent adjusting company, or a primary insurer's claim department retained by the insured to assist it in claim management. In essence, a self-insured is the primary insurer. Not surprisingly, many insureds that employ self-insurance are major companies or commercial entities, sophisticated in matters of insurance, risk management, and loss control.
Another difference between a deductible and an SIR is that the SIR does not reduce available policy limits, whereas a deductible may reduce policy limits. Thus, an excess insurance contract with limits of $750,000 sitting above a $250,000 SIR will provide the insured with $750,000 in coverage once the SIR is satisfied. A $250,000 deductible, in contrast, may reduce the $750,000 insurance policy limits, leaving $500,000 in limits after the deductible is satisfied.
An SIR is generally a specific amount of loss that is not covered by the policy but instead must be borne by the insured. An SIR endorsement may provide that the insurer shall have the right, but not the duty, to assume charge of the defense and settlement of any claim, including those below the level of the SIR.
One of the key characteristics of an SIR is that the insurer has no obligation to indemnify or defend a loss until the insured has paid the amount of the SIR. For purposes of analyzing the affect of "other insurance" clauses, this characteristic is the most significant characteristic of an SIR because it is this characteristic that transforms what would otherwise be a primary policy into an "excess" policy.
The magnitude of the difference between SIRs and deductibles depends upon the precise policy terms. Most significantly, the insured with an SIR generally assumes responsibility for claims handling and will report to the insurer only those claims that it considers likely to exceed the amount of its retained limit. By contrast, in the case of liability policies with a deductible, claims are tendered to the insurer for handling.
    </t>
  </si>
  <si>
    <t>Self-Employed Professional</t>
  </si>
  <si>
    <t xml:space="preserve">
A non-salaried worker. American Heritage: Earning one's livelihood directly from one's own trade or business rather than as an employee of another.
    </t>
  </si>
  <si>
    <t>Self-Insured</t>
  </si>
  <si>
    <t xml:space="preserve">
A company or person who insures itself or its possessions against loss by regularly setting aside funds.
    </t>
  </si>
  <si>
    <t>Self-Insured Retention</t>
  </si>
  <si>
    <t xml:space="preserve">
A dollar amount specified in an insurance contract (usually a liability insurance contract) that must be paid by the insured before the insurance contract will respond to a loss.
    </t>
  </si>
  <si>
    <t>Self-Insured Workers Compensation Bond</t>
  </si>
  <si>
    <t xml:space="preserve">
Workers' Compensation laws, at the state and federal level, require employers to compensate employees injured on the job. An employer may comply with these laws by purchasing insurance or self-insuring by posting a workers' compensation bond to guarantee.
    </t>
  </si>
  <si>
    <t>Semi Automatic Arrangement</t>
  </si>
  <si>
    <t xml:space="preserve">
This concept is the super-type of all semi-automatic arrangements.
Types of semi-automatic arrangements :
- Proportional = Automatic Facultative Treaty, Facultative Obligatory Treaty, Line Slip
- Non-Proportional = Coded Excess of Loss, Excess of Loss Line Slip
    </t>
  </si>
  <si>
    <t>SEP</t>
  </si>
  <si>
    <t xml:space="preserve">
Simplified Employee Pension (SEP)
    </t>
  </si>
  <si>
    <t>Serial Number</t>
  </si>
  <si>
    <t xml:space="preserve">
A serial number (also manufacturer's serial number or MSN) is a unique code assigned for identification of a single unit.
    </t>
  </si>
  <si>
    <t>Service Component</t>
  </si>
  <si>
    <t xml:space="preserve">
An financial services agreement component representing the services that the modeled organization is providing in the context of the agreement.
These can be services such as providing access to financial information, providing legal advice, managing assets, provide for the use of financial transactions of a certain type.
    </t>
  </si>
  <si>
    <t>Service Component Specification</t>
  </si>
  <si>
    <t>Service Order</t>
  </si>
  <si>
    <t xml:space="preserve">
This concept stands for the service order document, in case of an service provider assignment in case of a material benefit.
    </t>
  </si>
  <si>
    <t>Service Provider</t>
  </si>
  <si>
    <t xml:space="preserve">
A party (e.g. person or organization) that provides services to or for the organization. Examples include: physicians, inspectors, laboratories, paramedics, garages, experts, vendors and other financial institutions.
This concept is a generalizing concept for the roles possibly played by a party as a professional services provider.
    </t>
  </si>
  <si>
    <t>Service Provider  Customer Relationship</t>
  </si>
  <si>
    <t xml:space="preserve">
This represents the customer relationship in which the service provider participates.
    </t>
  </si>
  <si>
    <t>Service Provider  Provided Professional Service Relationship</t>
  </si>
  <si>
    <t xml:space="preserve">
This represents the professional service relationship in which the service provider providing service participates.
    </t>
  </si>
  <si>
    <t>Service Provider  Requested Professional Service Relationship</t>
  </si>
  <si>
    <t xml:space="preserve">
This represents the professional service relationship in which the service provider requesting service participates.
    </t>
  </si>
  <si>
    <t>Service Provider Category</t>
  </si>
  <si>
    <t xml:space="preserve">
This concept specifies a service provider category.
    </t>
  </si>
  <si>
    <t>Settlement Vendor</t>
  </si>
  <si>
    <t xml:space="preserve">
The settlement vendor person or organization is the vendor providing money settlement services between trading partners.
    </t>
  </si>
  <si>
    <t>Settling Agent</t>
  </si>
  <si>
    <t xml:space="preserve">
The agent or agency responsible for managing the settlement of a claim.
    </t>
  </si>
  <si>
    <t>SFAA</t>
  </si>
  <si>
    <t xml:space="preserve">
The Surety &amp; Fidelity Association of America (SFAA)
    </t>
  </si>
  <si>
    <t>SGOT</t>
  </si>
  <si>
    <t xml:space="preserve">
Serum Glutamic-Oxalocetic Transaminase (SGOT)
    </t>
  </si>
  <si>
    <t>SGPT</t>
  </si>
  <si>
    <t xml:space="preserve">
Serum Glutamate Pyruvate Transaminase (SGPT)
    </t>
  </si>
  <si>
    <t>Shareholder</t>
  </si>
  <si>
    <t xml:space="preserve">
A shareholder is an owner of shares in a company.
    </t>
  </si>
  <si>
    <t>Ship</t>
  </si>
  <si>
    <t xml:space="preserve">
In modern parlance a ship has been any large buoyant watercraft. Ships are generally distinguished from boats based on size, shape and cargo or passenger capacity.
    </t>
  </si>
  <si>
    <t>Ship Specification</t>
  </si>
  <si>
    <t xml:space="preserve">
This represents the specification of the characteristics of a ship.
    </t>
  </si>
  <si>
    <t>Shipping Contact</t>
  </si>
  <si>
    <t xml:space="preserve">
This concept represents a shipping contact utilized for delivery of physical shipments that may or may not have a recognized postal address delivery point (e.g. the shipping of packages to be delivered to a loading dock, a location to which postal mail would not and/or could not be delivered).
    </t>
  </si>
  <si>
    <t>Shipping Contact  Delivery Address</t>
  </si>
  <si>
    <t xml:space="preserve">
This represents the delivery address (e.g. postal address) for shipping purposes.
    </t>
  </si>
  <si>
    <t>Shopping Center</t>
  </si>
  <si>
    <t xml:space="preserve">
This concept represents a shopping center.
    </t>
  </si>
  <si>
    <t>Short Rate</t>
  </si>
  <si>
    <t xml:space="preserve">
A cancellation type (procedure) in which the premium returned to the insured is not in direct proportion to the number of days remaining in the contract period. In effect, the insured has paid more for each day of coverage than if the contract had remained in force for the full term.
    </t>
  </si>
  <si>
    <t>SIAA</t>
  </si>
  <si>
    <t xml:space="preserve">
Strategic Independent Agents Alliance  (SIAA)
    </t>
  </si>
  <si>
    <t>Sibling</t>
  </si>
  <si>
    <t xml:space="preserve">
This concept represents a sibling.
    </t>
  </si>
  <si>
    <t>Sibling Child</t>
  </si>
  <si>
    <t xml:space="preserve">
This concept represents a sibling's child (e.g. niece, nephew).
    </t>
  </si>
  <si>
    <t>Siding</t>
  </si>
  <si>
    <t xml:space="preserve">
This represents various aspects about the siding of a structure.
    </t>
  </si>
  <si>
    <t>Siding  Percent</t>
  </si>
  <si>
    <t xml:space="preserve">
This represents the percentage of the structure that has siding.
    </t>
  </si>
  <si>
    <t>Siding  Type Code</t>
  </si>
  <si>
    <t xml:space="preserve">
This indicates the type of siding on the structure.
    </t>
  </si>
  <si>
    <t>Sign</t>
  </si>
  <si>
    <t xml:space="preserve">
A sign is a structure that exists for viewing (e.g. an advertisement or store sign).
    </t>
  </si>
  <si>
    <t>Sign  Material Type Code</t>
  </si>
  <si>
    <t xml:space="preserve">
This represents the material of which the sign consists (e.g. metal, wood, etc.).
    </t>
  </si>
  <si>
    <t>Signatory</t>
  </si>
  <si>
    <t xml:space="preserve">
A signer, or one of the signers, of a document.
    </t>
  </si>
  <si>
    <t>Signatory  Designation Code</t>
  </si>
  <si>
    <t xml:space="preserve">
Designation of signatory. Indicates how the signatory is associated with the agreement. 
e.g: Applicant
e.g: Producer
    </t>
  </si>
  <si>
    <t>Signatory  Signature Date Time</t>
  </si>
  <si>
    <t xml:space="preserve">
The date (and time) on which the financial services agreement was formally signed by the party playing the financial services role.
    </t>
  </si>
  <si>
    <t>Signer</t>
  </si>
  <si>
    <t xml:space="preserve">
The person who signed or completed a form.
    </t>
  </si>
  <si>
    <t>SILA</t>
  </si>
  <si>
    <t xml:space="preserve">
Securities &amp; Insurance Licensing Association (SILA)
    </t>
  </si>
  <si>
    <t>Single Premium Insurance</t>
  </si>
  <si>
    <t xml:space="preserve">
An insurance contract or annuity bought with one premium with no further premiums due during the term of the contract.
    </t>
  </si>
  <si>
    <t>Sinkhole</t>
  </si>
  <si>
    <t xml:space="preserve">
A sinkhole, also known as a sink-hole, sink, swallow hole, shakehole, swallet or doline, is a natural depression or hole in the ground caused by some form of collapse of the surface layer.
    </t>
  </si>
  <si>
    <t>SIR</t>
  </si>
  <si>
    <t xml:space="preserve">
Self-insured Retention (SIR)
    </t>
  </si>
  <si>
    <t>SITE</t>
  </si>
  <si>
    <t xml:space="preserve">
Society for Information Technology &amp; Teacher Education (SITE)
    </t>
  </si>
  <si>
    <t>SiVI</t>
  </si>
  <si>
    <t xml:space="preserve">
Standaardisatie Instituut voor Verzekeringen in de Intermediairbranche (SiVI)
    </t>
  </si>
  <si>
    <t>Skilled Nursing Facility</t>
  </si>
  <si>
    <t xml:space="preserve">
An organization with professional nursing staff who provide care to a patient.
    </t>
  </si>
  <si>
    <t>Skipper</t>
  </si>
  <si>
    <t xml:space="preserve">
Any person - usually an officer, such as the captain - who is licensed to command a ship.
    </t>
  </si>
  <si>
    <t>Sliding Scale Commission</t>
  </si>
  <si>
    <t xml:space="preserve">
Percentage of commission that has an inverse relationship to the loss experience on the business brought in.
    </t>
  </si>
  <si>
    <t>SMA</t>
  </si>
  <si>
    <t xml:space="preserve">
Spinal Muscular Atrophy (SMA)
    </t>
  </si>
  <si>
    <t>SMI</t>
  </si>
  <si>
    <t xml:space="preserve">
Swiss Market Index (SMI)
    </t>
  </si>
  <si>
    <t>SMS</t>
  </si>
  <si>
    <t xml:space="preserve">
Short Message Service (SMS)
    </t>
  </si>
  <si>
    <t>Snowmobile</t>
  </si>
  <si>
    <t xml:space="preserve">
A snowmobile, also known as a sled, is a land vehicle designed for winter travel on snow.
    </t>
  </si>
  <si>
    <t>Snowmobile Specification</t>
  </si>
  <si>
    <t xml:space="preserve">
This represents the specification of the characteristics of a snowmobile.
    </t>
  </si>
  <si>
    <t>SOA</t>
  </si>
  <si>
    <t xml:space="preserve">
Society of Actuaries (SOA)
    </t>
  </si>
  <si>
    <t>Solid Fuel Heating</t>
  </si>
  <si>
    <t xml:space="preserve">
This represents various aspects about the solid fuel heating of a structure.
    </t>
  </si>
  <si>
    <t>Solid Fuel Heating  Airtight Indicator</t>
  </si>
  <si>
    <t xml:space="preserve">
This indicates the heating unit is airtight.
    </t>
  </si>
  <si>
    <t>Solid Fuel Heating  Includes Doors Indicator</t>
  </si>
  <si>
    <t xml:space="preserve">
This indicates the heating unit includes doors.
    </t>
  </si>
  <si>
    <t>Solid Fuel Heating  Slow Combustion Indicator</t>
  </si>
  <si>
    <t xml:space="preserve">
This indicates the heating unit utilizes a slow combustion method. For example, airtight stoves and airtight inserts by design are intended to burn fuel at a slower rate.
    </t>
  </si>
  <si>
    <t>Solid Fuel Heating  Type Code</t>
  </si>
  <si>
    <t xml:space="preserve">
This indicates the type of solid fuel heating.
    </t>
  </si>
  <si>
    <t>Solvency Position</t>
  </si>
  <si>
    <t xml:space="preserve">
The estimate of a solvency risk exposure obtained from a solvency position assessment that was performed in accordance to a regulatory solvency specification.
    </t>
  </si>
  <si>
    <t>Solvency Risk Agreement</t>
  </si>
  <si>
    <t xml:space="preserve">
A risk agreement concerned with the regulation and management of the solvency position of an insurance undertaking. 
Usually a solvency risk agreement is entered into by two parties: the insurance undertaking and its regulatory authority.
    </t>
  </si>
  <si>
    <t>Solvency Risk Exposure</t>
  </si>
  <si>
    <t xml:space="preserve">
A risk exposure that describes the possibility that an insurance undertaking may become insolvent, arising out from a combination of financial risk exposures, market risk exposures, concentration risk exposures, catastrophic risk exposures and operational risk exposures that may impact the financial services agreements which the insurance company has underwritten and its assets and liabilities.
    </t>
  </si>
  <si>
    <t>Source Of Business</t>
  </si>
  <si>
    <t xml:space="preserve">
Subdivision of new business to separate reinsurance from other ('direct') business, i.e. according to where it arises. For example, New Business may be subdivided by source into Direct business, business from reinsurance accepted which is external to the insurance group, and business from reinsurance accepted which is from within the insurance group.
    </t>
  </si>
  <si>
    <t>Special Acceptance</t>
  </si>
  <si>
    <t xml:space="preserve">
An agreement by the reinsurer to include under a reinsurance contract, a risk which is not automatically included within the terms of the contract.
    </t>
  </si>
  <si>
    <t>Special Acceptance Premium</t>
  </si>
  <si>
    <t xml:space="preserve">
The amount of premium payable in respect of an agreement by the reinsurer to include a risk which is not automatically included under the terms of the contract.
    </t>
  </si>
  <si>
    <t>Special Rated</t>
  </si>
  <si>
    <t xml:space="preserve">
A published rate (as opposed to a tariff rate) that applies to an individual location or building.
    </t>
  </si>
  <si>
    <t>Specifically Rated</t>
  </si>
  <si>
    <t>Specification</t>
  </si>
  <si>
    <t xml:space="preserve">
This concept is defined as the super type for all specification concepts (e.g. blueprints / designs).
    </t>
  </si>
  <si>
    <t>Specification  Description</t>
  </si>
  <si>
    <t xml:space="preserve">
A free-text statement used to explain the meaning of the specification.
    </t>
  </si>
  <si>
    <t>Specification  Designer</t>
  </si>
  <si>
    <t xml:space="preserve">
This represents the party role acting as the "designer" of the specification.
    </t>
  </si>
  <si>
    <t>Specification  Kind Of Element Name</t>
  </si>
  <si>
    <t xml:space="preserve">
A name that is unique used to define the kind of element this specification is describing.
    </t>
  </si>
  <si>
    <t>Specification  Name</t>
  </si>
  <si>
    <t xml:space="preserve">
The word or phrase used to identify (but not uniquely) the specification.
    </t>
  </si>
  <si>
    <t>Specification  Short Name</t>
  </si>
  <si>
    <t xml:space="preserve">
This attribute can be used as an alias resulting from the different hierarchy level names or organization of the sub-components of the product definition.
    </t>
  </si>
  <si>
    <t>Specification  Version</t>
  </si>
  <si>
    <t xml:space="preserve">
Identifies the version of a specification.
    </t>
  </si>
  <si>
    <t>Specified Content</t>
  </si>
  <si>
    <t xml:space="preserve">
Communication content based on a standard text specification.
    </t>
  </si>
  <si>
    <t>Specified Perils Vehicle Symbol Code</t>
  </si>
  <si>
    <t xml:space="preserve">
A subcategory of the Vehicle symbol code. A classification specifying the vehicles for which this contract provides specified perils coverage. The source of this code list is the Insurance Services Office CLM or rating manuals of individual insurers.
    </t>
  </si>
  <si>
    <t>Split Percent Commission</t>
  </si>
  <si>
    <t xml:space="preserve">
The designation that a commission will be divided. Examples: 1.Split percent the paid producer receives on this commission. 2. The designated split between the fixed and variable portions of payout for an annuity.
    </t>
  </si>
  <si>
    <t>Spouse</t>
  </si>
  <si>
    <t xml:space="preserve">
This concept represents a spouse (husband or wife) as related to a civil relationship.
    </t>
  </si>
  <si>
    <t>Spouse  Civil Relation Nature Code</t>
  </si>
  <si>
    <t xml:space="preserve">
A code indicating the nature of a spouse in relation to another spouse in the context of a civil relationship.
    </t>
  </si>
  <si>
    <t>Spouse  Including Civil Relationship</t>
  </si>
  <si>
    <t xml:space="preserve">
This represents the civil relationship in which the spouse participates.
    </t>
  </si>
  <si>
    <t>SROI</t>
  </si>
  <si>
    <t xml:space="preserve">
Subsequent Report Of Injury (SROI)
    </t>
  </si>
  <si>
    <t>SSN</t>
  </si>
  <si>
    <t xml:space="preserve">
Social Security Number (SSN)
    </t>
  </si>
  <si>
    <t>Static Text Block</t>
  </si>
  <si>
    <t xml:space="preserve">
The simplest of the primary building blocks of a document template. It is a piece of text that contains no variable elements. The text can be of any size and could, in a special case, represent the whole document.
    </t>
  </si>
  <si>
    <t>Static Text Block  Text</t>
  </si>
  <si>
    <t xml:space="preserve">
The text to be used as static specified content.
    </t>
  </si>
  <si>
    <t>Status</t>
  </si>
  <si>
    <t xml:space="preserve">
This abstract super-type contains common attributes shared by all types of status.
    </t>
  </si>
  <si>
    <t>Status  Effective Date Time</t>
  </si>
  <si>
    <t xml:space="preserve">
This represents the date/time the status took effect.
    </t>
  </si>
  <si>
    <t>Status  Name</t>
  </si>
  <si>
    <t xml:space="preserve">
This represents the name of the status.
    </t>
  </si>
  <si>
    <t>Status  Reason</t>
  </si>
  <si>
    <t xml:space="preserve">
This represents the reason for the state of the status.
    </t>
  </si>
  <si>
    <t>Status Change Request</t>
  </si>
  <si>
    <t xml:space="preserve">
A request that results in a change to the life cycle status of a financial services agreement. Each modeled organization may have its own variety of statuses resulting from status change requests.
e.g: Cancellation Request: A request that leads to the end of the financial services agreement. Such a request can be initiated by the customer or by the modeled organization. In the latter case, different circumstances may exist, such as the nonrenewable of the next insurance agreement term for underwriting reasons, the termination of a pending insurance agreement due to non-acceptance of the risk, the nonrenewable of a credit card agreement due to the customer's bad reimbursement history.
e.g: Full Surrender Request: A request that leads to the end of the financial services agreement. The accumulated value of the insurance agreement minus surrender charges is paid out to the insured and all the coverages provided under the insurance agreement are ended.
e.g: Lapse Request: A request to put the financial services agreement in a lapse status. In insurance, such a request may be triggered by the non-payment of premiums. Lapse processing may include the execution of non-forfeiture or exit options if there is cash value.
e.g: Maturity Request: A request to put a financial services agreement in a matured status. Typically, in life insurance, a maturity request is triggered when life insurance death proceeds or endowments are paid, either at the death of an insured or at the end of the endowment period.
e.g: Policy Conversion Request: Converts a policy to another policy, ending the first one, creating a new policy and transferring value from the ended to the new policy. Typically done for changing to a different product, like for instance when moving the value of a group pension policy to an individual annuity policy.
e.g: Quote Request: A request for a price estimate for a financial services agreement. In the case of insurance, a quote is a price estimate for an insurance cover, typically requested by a prospective customer to explore insurance alternatives and to obtain a quick rate quotation.
e.g: Reactivation Request: A request to reestablish a financial services agreement's in-force status after suspension.
e.g: Reinstatement Request: A request to place a previously lapsed financial services agreement back in force. In the case of an insurance policy, the insurance policy may have lapsed because of non-payment of premiums, or be a life insurance agreement that continues as extended term or reduced paid-up insurance.
e.g: Renewal Request: A request to renew a preexisting financial services agreement. Typically, in insurance, it represents the request for automatically reestablishing an insurance policy's in-force status, usually achieved through payment of the premium due.
e.g: Suspension Request: A request to place an financial services agreement in a suspend state. This means that no externally requested or automatic life-cycle event for this financial services agreement is further possible. The request may be initiated by the customer (for a limited period of time), by a producer or servicer (e.g. for the processing of a pending death claim), or by the modeled organization (e.g. whenever the withdrawals on a credit card have exceeded the withdrawal limit for a period of time). Typically, in insurance, any substantial increase of hazard in the risk covered may trigger a suspension request.
    </t>
  </si>
  <si>
    <t>Status Change Request  Requested Status Code</t>
  </si>
  <si>
    <t xml:space="preserve">
The status in which the agreement should be after completion of the request. 
e.g: Applied for. 
e.g: Suspended.
    </t>
  </si>
  <si>
    <t>Statutory Reserve</t>
  </si>
  <si>
    <t xml:space="preserve">
Reserves required for state legislatures.
    </t>
  </si>
  <si>
    <t>Stock</t>
  </si>
  <si>
    <t xml:space="preserve">
An interest that a shareholder has in a corporation. Shares do not yield any guaranteed interest payment but return money by capital gains and dividend payments. A dividend needs to be declared by the board of directors of the issuing company before the shareholder is entitled to receive any money.
    </t>
  </si>
  <si>
    <t>Stock  Total Shares Count</t>
  </si>
  <si>
    <t xml:space="preserve">
The total number of shares issued. 
e.g: 1,234,567, 345 shares of common stock.
    </t>
  </si>
  <si>
    <t>Stock Information Details</t>
  </si>
  <si>
    <t xml:space="preserve">
Contains stock information for a publicly traded organization. This information is typically defined by the appropriate governing body.
    </t>
  </si>
  <si>
    <t>Stock Information Exchange Ticker Symbol Text</t>
  </si>
  <si>
    <t xml:space="preserve">
The exchange ticker symbol associated with the organization.
    </t>
  </si>
  <si>
    <t>Stock Information Fund Current Investment Amount</t>
  </si>
  <si>
    <t xml:space="preserve">
The total amount of money currently invested in the fund.
    </t>
  </si>
  <si>
    <t>Stock Information Fund Name</t>
  </si>
  <si>
    <t xml:space="preserve">
Name of the fund allocated for identification or communication purposes.
    </t>
  </si>
  <si>
    <t>Stock Information Highest Amount</t>
  </si>
  <si>
    <t xml:space="preserve">
The monetary value that constitutes the highest stock price reached as measured during a specified period of time.
    </t>
  </si>
  <si>
    <t>Stock Information Interest Rate</t>
  </si>
  <si>
    <t xml:space="preserve">
The interest rate applicable to this derivative. A derivative is a financial instrument whose characteristics and value depend upon the characteristics and value of an underlying instrument or asset, typically a commodity, bond, equity or currency. Examples are futures and options.
    </t>
  </si>
  <si>
    <t>Stock Information Lowest Amount</t>
  </si>
  <si>
    <t xml:space="preserve">
The monetary value that constitutes the lowest stock price reached as measured during a specified period of time.
    </t>
  </si>
  <si>
    <t>Stock Information One Share Fund Amount</t>
  </si>
  <si>
    <t xml:space="preserve">
The calculated value of 1 share of a fund on a given date, based on the total value of all financial assets that are included in the fund and the total number of shares in the fund.
    </t>
  </si>
  <si>
    <t>Stock Information Security Price Amount</t>
  </si>
  <si>
    <t xml:space="preserve">
The selling price of a security in the market.
    </t>
  </si>
  <si>
    <t>Stock Shares As Of Date</t>
  </si>
  <si>
    <t xml:space="preserve">
The date for which a status/snap shot of the share information is being requested.
    </t>
  </si>
  <si>
    <t>Stock Shares Issued</t>
  </si>
  <si>
    <t xml:space="preserve">
The number of shares issued of different classes (i.e. common, preferred) of shares the company has issued as of a certain date.
    </t>
  </si>
  <si>
    <t>Stock Shares Outstanding</t>
  </si>
  <si>
    <t xml:space="preserve">
Number of shares (i.e. common, preferred) outstanding of each class.
    </t>
  </si>
  <si>
    <t>Stock Shares Price</t>
  </si>
  <si>
    <t xml:space="preserve">
The monetary value that constitutes the price of an individual outstanding share.
    </t>
  </si>
  <si>
    <t>Stockbroker</t>
  </si>
  <si>
    <t xml:space="preserve">
This concept describes one's role as a stock broker.
    </t>
  </si>
  <si>
    <t>Stockbroker Relationship</t>
  </si>
  <si>
    <t xml:space="preserve">
This concept describes a relationship with a Stock-Broker.
    </t>
  </si>
  <si>
    <t>Stop Loss Facultative Agreement</t>
  </si>
  <si>
    <t xml:space="preserve">
This method was originally developed to meet the requirements of direct insureds for the protection of industrial risks where, instead of maintaining large self-insured deductibles for each and every claim, the insured would bear on his own account the aggregate during the year of all low intensity / high frequency claims below a defined level in return for a discount in premium. This concept is sometimes used in facultative reinsurance to arrest attrition losses that are costly to handle for both cedent and reinsurer.
    </t>
  </si>
  <si>
    <t>Stop Loss Treaty Agreement</t>
  </si>
  <si>
    <t xml:space="preserve">
Stop loss reinsurance protects a cedent against an aggregate amount of claims over a period, in excess of a specified percentage of the earned premium income. Stop loss reinsurance does not cover individual claims. The reinsurer's liability is limited to a stipulated percentage of the loss and/or a maximum currency amount. The stop loss method protects the cedent against the possibility that the aggregate value of an accumulation of small losses will exceed a specified percentage of earned premium income of a particular class. Stop loss reinsurance is the exact opposite of the quota share reinsurance and surplus reinsurance, and differs considerably from other forms of excess of loss reinsurance.
For example, a reinsurer can provide a cedent with 50% of the amount by which aggregate incurred losses of the cedent in any year exceed 70% of the cedent's earned premium income during that year.
    </t>
  </si>
  <si>
    <t>Stop Option</t>
  </si>
  <si>
    <t xml:space="preserve">
Conditional: only used if the Stop Option selected is "To an Attained Age", or "For a Number of Years." Enter the attained age of the primary insured or the specified number of years to project.
    </t>
  </si>
  <si>
    <t>Storage Space</t>
  </si>
  <si>
    <t xml:space="preserve">
The part of a structure that represents a storage space. It can be indoor or outdoor.
    </t>
  </si>
  <si>
    <t>Storage Space  Open Air Indicator</t>
  </si>
  <si>
    <t xml:space="preserve">
Indicates the storage location is in an open place (no enclosure) - e.g. outdoors.
    </t>
  </si>
  <si>
    <t>Storage Tank</t>
  </si>
  <si>
    <t xml:space="preserve">
Storage tanks are containers that hold liquids, compressed gases (gas tank) or mediums used for the short- or long-term storage of heat or cold.
    </t>
  </si>
  <si>
    <t>Storage Tank  Above Ground Indicator</t>
  </si>
  <si>
    <t xml:space="preserve">
This indicates the storage tank is above ground (e.g. it is not buried in the ground).
    </t>
  </si>
  <si>
    <t>Storage Tank  Mobile Indicator</t>
  </si>
  <si>
    <t xml:space="preserve">
This indicates the storage tank is mobile.
    </t>
  </si>
  <si>
    <t>Stored Object</t>
  </si>
  <si>
    <t xml:space="preserve">
This role represents a stored object in the context of the place at which it is stored.
    </t>
  </si>
  <si>
    <t>Storm Shutters</t>
  </si>
  <si>
    <t xml:space="preserve">
This represents various aspects about the storm shutters of a structure.
    </t>
  </si>
  <si>
    <t>Storm Shutters  Type Code</t>
  </si>
  <si>
    <t xml:space="preserve">
This code indicates the type of storm shutter utilized.
    </t>
  </si>
  <si>
    <t>Street Address</t>
  </si>
  <si>
    <t xml:space="preserve">
This concept represents the components unique to a street address as a place.
    </t>
  </si>
  <si>
    <t>Street Address  Name</t>
  </si>
  <si>
    <t xml:space="preserve">
The name of the street where the address is located.
    </t>
  </si>
  <si>
    <t>Street Address  Number</t>
  </si>
  <si>
    <t xml:space="preserve">
The street/road number as a component of a street address. For example: "123 Main St"  the "123" is the street number.
    </t>
  </si>
  <si>
    <t>Street Address  Post Direction Code</t>
  </si>
  <si>
    <t xml:space="preserve">
When an address consists of a directional indicator after the street address, a code identifying the direction.
    </t>
  </si>
  <si>
    <t>Street Address  Pre Direction Code</t>
  </si>
  <si>
    <t xml:space="preserve">
When an address consists of a directional indicator before the street address, a code identifying the direction.
    </t>
  </si>
  <si>
    <t>Street Address  Type Code</t>
  </si>
  <si>
    <t xml:space="preserve">
A code indicating the type of street. The source of the code list varies based on locale.
USA: USPS Suffix List or the ISO Street Type abbreviations list.
    </t>
  </si>
  <si>
    <t>Structural Component</t>
  </si>
  <si>
    <t xml:space="preserve">
This concept represents a structural aspect of an agreement.
Examples:
It can be utilized as a "section" to which various other agreement components are grouped. The term "section" is flexible in its use. For example, when associated with insurance agreements it might be one portion of a package policy (e.g. the auto section of a personal package policy that encompasses an auto section and a homeowners section). The term "section" might also be utilized to represent the property "section" of a homeowners policy as contrasted with the liability "section" of the same policy.
It can be utilized as a "subject of insurance" to which various other agreement components are grouped. For example, it could be utilized to group coverages that are also associated with a particular physical object playing the role of "insured object".
    </t>
  </si>
  <si>
    <t>Structure</t>
  </si>
  <si>
    <t xml:space="preserve">
This concept is the generalizing concept representing all physical structures.
To create specific instances of a structure where a specialization is not already included in the model, use the typeName attribute inherited from InformationModelObject to represent the type of structure. 
This eliminates the need for specific specializations to be created for every type of structure. It is recommended to use specializations when additional attribution is necessary.
    </t>
  </si>
  <si>
    <t>Structure  Design Style Code</t>
  </si>
  <si>
    <t xml:space="preserve">
The design style of the structure.
    </t>
  </si>
  <si>
    <t>Structure  General Shape Code</t>
  </si>
  <si>
    <t xml:space="preserve">
It indicates the general physical shape of the building.
    </t>
  </si>
  <si>
    <t>Structure  Material Percent</t>
  </si>
  <si>
    <t xml:space="preserve">
This represents the percent of the material that comprises the structure (e.g. a structure made entirely of steel would be 100%).
    </t>
  </si>
  <si>
    <t>Structure  Material Type Code</t>
  </si>
  <si>
    <t xml:space="preserve">
The form of fabrication of the structure.
    </t>
  </si>
  <si>
    <t>Structure  Open Sides Count</t>
  </si>
  <si>
    <t xml:space="preserve">
This represents the number of open sides on the structure.
    </t>
  </si>
  <si>
    <t>Structure  Operations</t>
  </si>
  <si>
    <t xml:space="preserve">
This represents the operations occurring within a structure or some portion within.
    </t>
  </si>
  <si>
    <t>Structure  Prescribed Usage Code</t>
  </si>
  <si>
    <t xml:space="preserve">
This indicates the officially listed usage of the structure based on a registration either by geographical region or a specific building registration.
    </t>
  </si>
  <si>
    <t>Structure  Seating Capacity</t>
  </si>
  <si>
    <t xml:space="preserve">
This represents the seating capacity of the structure.
    </t>
  </si>
  <si>
    <t>Structure  Unit Count</t>
  </si>
  <si>
    <t xml:space="preserve">
The count of units within the same structure (e.g. an apartment building with four separate units for four separate households as residences would be a building with a unit count of "4").
    </t>
  </si>
  <si>
    <t>Structure Component</t>
  </si>
  <si>
    <t xml:space="preserve">
This concept gives more details on the construction of a structure.
    </t>
  </si>
  <si>
    <t>Structure Component  Construction Solid Material Percentage</t>
  </si>
  <si>
    <t xml:space="preserve">
Defines the percentage of solid material of the structure.
    </t>
  </si>
  <si>
    <t>Structure Component  Count</t>
  </si>
  <si>
    <t xml:space="preserve">
This represents the count of structure components (e.g. 1 dishwasher).
    </t>
  </si>
  <si>
    <t>Structure Component  Last Updated Date Time</t>
  </si>
  <si>
    <t xml:space="preserve">
This represents the last date (and time) of a construction project to the structure. This date indicates either when the new construction was completed or a major renovation to the existing property.
    </t>
  </si>
  <si>
    <t>Structure Component  Status</t>
  </si>
  <si>
    <t xml:space="preserve">
This represents the status of a structure component.
    </t>
  </si>
  <si>
    <t>Structure Feature</t>
  </si>
  <si>
    <t xml:space="preserve">
This represents various details about the features of a structure (e.g. 1 sauna).
    </t>
  </si>
  <si>
    <t>Structure Feature  Type Code</t>
  </si>
  <si>
    <t xml:space="preserve">
A code indicating the type of structure feature (e.g. dishwasher).
    </t>
  </si>
  <si>
    <t>Structure Not Retrofitted</t>
  </si>
  <si>
    <t xml:space="preserve">
The completed structure has not been modified in accordance with earthquake damageability measures.
    </t>
  </si>
  <si>
    <t>Structure Rating</t>
  </si>
  <si>
    <t xml:space="preserve">
This component contains information specific to how the subject of insurance is rated when the subject is a structure.
    </t>
  </si>
  <si>
    <t>Structure Registration</t>
  </si>
  <si>
    <t xml:space="preserve">
This represents the registration of a structure (e.g. building permit, historic/landmark building, etc.).
    </t>
  </si>
  <si>
    <t>Structure Score</t>
  </si>
  <si>
    <t xml:space="preserve">
The assessment result resulting from the assessment of a structure. A particular characteristic pertaining to the structure, or a set of  characteristics, is evaluated and expressed as percentages or discrete values. 
e.g: The assessment of the compliance of a building to fire protection criteria.
    </t>
  </si>
  <si>
    <t>Structure Score  Housekeeping Code</t>
  </si>
  <si>
    <t xml:space="preserve">
A code indicating an evaluation of the interior upkeep of the structure.
    </t>
  </si>
  <si>
    <t>Structure Score  Material Quality Code</t>
  </si>
  <si>
    <t xml:space="preserve">
A code indicating the quality of the structure or a part of the structure.
    </t>
  </si>
  <si>
    <t>Structure Status</t>
  </si>
  <si>
    <t xml:space="preserve">
This represents the status of a structure or structure component.
    </t>
  </si>
  <si>
    <t>Structure Status  Code</t>
  </si>
  <si>
    <t xml:space="preserve">
The stage of completion of the construction of the structure.
    </t>
  </si>
  <si>
    <t>Sub-Broker</t>
  </si>
  <si>
    <t xml:space="preserve">
A broker engaged by another broker, For example,to place part of a risk.
    </t>
  </si>
  <si>
    <t>Sub-Claim</t>
  </si>
  <si>
    <t xml:space="preserve">
Part of a larger claim resulting from a single incident which is typically tracked and settled independently.
    </t>
  </si>
  <si>
    <t>Sub-Contractor</t>
  </si>
  <si>
    <t xml:space="preserve">
A company that commits itself to establish part of a construction for the account of a contractor.
    </t>
  </si>
  <si>
    <t>Subaccount</t>
  </si>
  <si>
    <t xml:space="preserve">
1: In (Re)Insurance, a manner of dividing accounting events falling underneath an individual (re)insurance contract. 2: In an investment product, the funds underlying the contract.
    </t>
  </si>
  <si>
    <t>Subject Premiums</t>
  </si>
  <si>
    <t xml:space="preserve">
1: The reinsured company's premiums (written or earned) to which the reinsurance premium rate is applied to produce the reinsurance premium. 2: In workers compensation, the premium which is subject to experience rating.
    </t>
  </si>
  <si>
    <t>Subrogation Claim</t>
  </si>
  <si>
    <t xml:space="preserve">
Subrogation is the legal process by which an insurance company, after paying a loss, seeks to recover the amount of a loss from another party who is legally liable for it.
SOURCE: http://www.iii.org/
Subrogation claims include all claims where the demand is made based on rights subrogated by the claimant.
This includes :
- subrogation claim against opponent third party insurer : where the claim is made against the insurer of the opponent third party.
- subrogation claim against opponent third party : where the claim is made against the opponent third party.
- uninsured loss claim against opponent third party insurer: where the demand is made based on the rights of the claimant against the opponent third party and his insurer, and where the modeled organization acts as claim representative of the claimant.
e.g: Identifies the subrogation claim from Mighty Insurance Company to Brian Madison for compensation for property damage incurred to a car insured and paid for by Mighty Insurance Company.
e.g: MIA's insurance company agrees to pay the claim of Tom Howell for a car accident of which Jane Doe was responsible. MIA submits a claim to Jane Doe's insurer to recoup the money. This second claim is subrogation for the first one.
    </t>
  </si>
  <si>
    <t>Substance Use</t>
  </si>
  <si>
    <t xml:space="preserve">
This concept describes a person's substance use.
    </t>
  </si>
  <si>
    <t>Substance Use  Amount</t>
  </si>
  <si>
    <t xml:space="preserve">
The amount of substance used, based on frequency, on average.
    </t>
  </si>
  <si>
    <t>Substance Use  Duration</t>
  </si>
  <si>
    <t xml:space="preserve">
The duration of time (in unit measurements) that the substance was used (e.g. 3 years, 6 months, etc.).
    </t>
  </si>
  <si>
    <t>Substandard Insurance</t>
  </si>
  <si>
    <t xml:space="preserve">
Coverage for risks deemed uninsurable at normal rates.
    </t>
  </si>
  <si>
    <t>Substructure</t>
  </si>
  <si>
    <t xml:space="preserve">
This represents various aspects about the substructure of a structure.
    </t>
  </si>
  <si>
    <t>Substructure  Continuous Indicator</t>
  </si>
  <si>
    <t xml:space="preserve">
This indicates the substructure is continuous.
    </t>
  </si>
  <si>
    <t>Substructure  Finished Percent</t>
  </si>
  <si>
    <t xml:space="preserve">
This represents the percent of the total substructure that is finished (e.g. finished means the substructure has been modified post-construction for use beyond storage space; e.g. the area that can be occupied as though it were "finished" and above ground).
    </t>
  </si>
  <si>
    <t>Substructure  Ground Floor Percent</t>
  </si>
  <si>
    <t xml:space="preserve">
This represents the percent of the ground floor that has a substructure.
    </t>
  </si>
  <si>
    <t>Substructure  Open Indicator</t>
  </si>
  <si>
    <t xml:space="preserve">
This indicates some portion of the substructure is open (e.g. the substructure is not entirely enclosed).
    </t>
  </si>
  <si>
    <t>Substructure  Type Code</t>
  </si>
  <si>
    <t xml:space="preserve">
This represents the type of foundation for a structure.
    </t>
  </si>
  <si>
    <t>Substructure  Walkout Indicator</t>
  </si>
  <si>
    <t xml:space="preserve">
This indicates a person can walk out of the substructure (e.g. walkout basement).
    </t>
  </si>
  <si>
    <t>Sum Insured</t>
  </si>
  <si>
    <t xml:space="preserve">
1. The monetary value of the limit or sum insured for this cover. 2. Maximum amount payable in the event of a valid claim.
    </t>
  </si>
  <si>
    <t>Sum Insured Premium</t>
  </si>
  <si>
    <t xml:space="preserve">
'The percentage or rate per thousand of the monetary value of the limit or sum insured to provide the maximum amount payable in the event of a valid claim.
    </t>
  </si>
  <si>
    <t>Super Profit Commission Amount</t>
  </si>
  <si>
    <t xml:space="preserve">
An agreed extra profit commission payable under a reinsurance contract over and above normal profit commission. Note: Sometimes known as overriding profit commission.
    </t>
  </si>
  <si>
    <t>Superannuation</t>
  </si>
  <si>
    <t xml:space="preserve">
A pension whereby employers are required by law to pay a proportion of an employee's salaries and wages into a superannuation fund which can be accessed when the employee retires. Currently only in Australia.
    </t>
  </si>
  <si>
    <t>Supervision</t>
  </si>
  <si>
    <t xml:space="preserve">
A rating of the need for special attention that would be required for an agreement.  For example, the need to look out for large cash transactions in a deposit account agreement.
    </t>
  </si>
  <si>
    <t>Supervision  Rating Code</t>
  </si>
  <si>
    <t xml:space="preserve">
A rating of the need for special attention that would be required for an agreement. 
e.g: High need to look out for large cash transactions in a deposit account agreement.
    </t>
  </si>
  <si>
    <t>Supplier</t>
  </si>
  <si>
    <t xml:space="preserve">
A company used for the supply of goods or services. 
e.g: Acme Car Repair Shop.
    </t>
  </si>
  <si>
    <t>Surcharge Amount</t>
  </si>
  <si>
    <t xml:space="preserve">
An additional sum added to the usual amount or cost.
    </t>
  </si>
  <si>
    <t>Surety</t>
  </si>
  <si>
    <t xml:space="preserve">
A "Surety" is the party (e.g. insurance company) backing another party that is playing the role of "Principal" in a surety bond agreement.
1. a party that has made itself responsible for another, as a sponsor, godparent, or bondsman.
2. a party who is legally responsible for the debt, default, or delinquency of another.
    </t>
  </si>
  <si>
    <t>Surety Bond</t>
  </si>
  <si>
    <t xml:space="preserve">
A surety bond is a promise to pay one party (the obligee) a certain amount if a second party (the principal) fails to meet some obligation, such as fulfilling the terms of a contract. The surety bond protects the obligee against losses resulting from the principal's failure to meet the obligation.
    </t>
  </si>
  <si>
    <t>Surety Bond Coverage</t>
  </si>
  <si>
    <t xml:space="preserve">
This coverage class is used to express the terms of a surety bond component.
    </t>
  </si>
  <si>
    <t>Surety Bond Coverage Specification  Type Code</t>
  </si>
  <si>
    <t xml:space="preserve">
This represents a surety bond coverage.
    </t>
  </si>
  <si>
    <t>Surplus Lines</t>
  </si>
  <si>
    <t xml:space="preserve">
Surplus Lines that make up the deductible.
    </t>
  </si>
  <si>
    <t>Surplus Share Treaty Agreement</t>
  </si>
  <si>
    <t xml:space="preserve">
Surplus Share Treaty is a Proportional treaty.
Surplus reinsurance is an automatic reinsurance that requires an insurer to transfer (cede) and the reinsurer to accept the part of every risk that exceeds the insurer's predetermined retention limit. The reinsurer shares in premiums and losses in the same proportion as it shares in the total policy limits of the risk. The surplus method permits the insurer to keep for its own account small policies, and to transfer the amount of risk on large policies above its retention limit. For example, assume an insurer issues a policy for $20,000 (limit of insurance). The insurer keeps $5000 (this is the threshold amount) (¼) and transfers the remaining $15,000 (¾) to its reinsurer. This is called a three line surplus because the amount transferred equals three times the retained line of the insurer. The insurer keeps ¼ and transfers ¾ of the premium to the reinsurer. In the event of total loss, the settlements between the insurer and the reinsurer would be effected on the identical ¼-¾ basis. The same principal applies if there is a partial loss, in that the reinsurer must reimburse the insurer in the same proportion as the reinsurance premium received.
    </t>
  </si>
  <si>
    <t>Surplus Share Treaty Agreement  Threshold Amount</t>
  </si>
  <si>
    <t xml:space="preserve">
Amount that the reinsured party retains under a surplus lines proportional treaty reinsurance contract.
    </t>
  </si>
  <si>
    <t>Surrender</t>
  </si>
  <si>
    <t xml:space="preserve">
In life insurance, the relinquishing of a contract by the owner for the cash value.
    </t>
  </si>
  <si>
    <t>Surrender Charge Schedule</t>
  </si>
  <si>
    <t xml:space="preserve">
In an investment product, a listing of the contract premium years and associated surrender charges as defined in the contract.
    </t>
  </si>
  <si>
    <t>Surrender Free Amount</t>
  </si>
  <si>
    <t xml:space="preserve">
In an investment product, an amount that can be withdrawn from the investments without incurring any redemption charges during a given calendar year.
    </t>
  </si>
  <si>
    <t>Surrender Terms</t>
  </si>
  <si>
    <t xml:space="preserve">
Information about the surrender terms that apply to a coverage.
    </t>
  </si>
  <si>
    <t>Surveyor</t>
  </si>
  <si>
    <t xml:space="preserve">
The person or organization that acts for the original insurers to review and assess the resulting damages incurred in a loss and corresponding claim.
    </t>
  </si>
  <si>
    <t>SVUL</t>
  </si>
  <si>
    <t xml:space="preserve">
Survivorship Variable Universal Life (SVUL)
    </t>
  </si>
  <si>
    <t>SWIFT</t>
  </si>
  <si>
    <t xml:space="preserve">
Society for Worldwide Interbank Financial Telecommunication (SWIFT)
    </t>
  </si>
  <si>
    <t>SWIFT-BIC</t>
  </si>
  <si>
    <t xml:space="preserve">
Society for Worldwide Interbank Financial Telecommunication - Bank Identifier Code (SWIFT-BIC)
    </t>
  </si>
  <si>
    <t>Swimming Pool</t>
  </si>
  <si>
    <t xml:space="preserve">
A swimming pool, swimming bath, wading pool, paddling pool, or simply a pool, is a container filled with water intended for swimming or water-based recreation.
    </t>
  </si>
  <si>
    <t>Swimming Pool  Is Based On Specification</t>
  </si>
  <si>
    <t xml:space="preserve">
This represents a manufactured item specification that is the basis for a swimming pool.
    </t>
  </si>
  <si>
    <t>Swimming Pool  Location Code</t>
  </si>
  <si>
    <t xml:space="preserve">
This indicates the location of the swimming pool.
    </t>
  </si>
  <si>
    <t>Swimming Pool  Material Type Code</t>
  </si>
  <si>
    <t xml:space="preserve">
This represents the type of material of which the swimming pool is constructed.
    </t>
  </si>
  <si>
    <t>Switching</t>
  </si>
  <si>
    <t xml:space="preserve">
Operation enabling the contractholder to transfer all or part of his savings made up of one or several investment vehicles to one or several other ones proposed as part of the contract.
    </t>
  </si>
  <si>
    <t>Tail Coverage</t>
  </si>
  <si>
    <t xml:space="preserve">
This supplemental insurance covers incidents that occurred during the active period of a claims-made contract but are not brought as claims against an insured, nor reported to the insurer, by the time the claims-made contract has been terminated. Needed at various times including when leaving a claims-made carrier, upon the decision to change claims-made carriers, at the time of retirement or due to death or total disability of the member. Tail coverage is purchased from an insured's previous claims-made carrier."
    </t>
  </si>
  <si>
    <t>TAMRA</t>
  </si>
  <si>
    <t xml:space="preserve">
Technical and Miscellaneous Revenue Act (TAMRA)
    </t>
  </si>
  <si>
    <t>Target Change Indicator</t>
  </si>
  <si>
    <t xml:space="preserve">
An indicator telling that the event represents a decrease. True indicates that the event is a decrease. False or missing indicates that this event is an increase. Commonly used for events like coverage change or target change.
    </t>
  </si>
  <si>
    <t>Target Group</t>
  </si>
  <si>
    <t xml:space="preserve">
Prospective buyers of insurance products classified according to various demographics such as age, sex, insurance.
    </t>
  </si>
  <si>
    <t>Target Market</t>
  </si>
  <si>
    <t xml:space="preserve">
The particular segment of a total population on which the service provider (e.g. insurance company, producer, etc.) focuses its expertise to satisfy that sub-market in order to accomplish its profit objectives.
    </t>
  </si>
  <si>
    <t>Target Market  Included Market Segment</t>
  </si>
  <si>
    <t xml:space="preserve">
This represents a market segment included in a target market.
    </t>
  </si>
  <si>
    <t>Target Market  Name</t>
  </si>
  <si>
    <t xml:space="preserve">
This is the name of the target market.
    </t>
  </si>
  <si>
    <t>Target Market  Type</t>
  </si>
  <si>
    <t xml:space="preserve">
This is the type of target market.
    </t>
  </si>
  <si>
    <t>Target Market Share</t>
  </si>
  <si>
    <t xml:space="preserve">
The percentage of the total opportunity within a target market that an insurance carrier or producer is striving to attain.
    </t>
  </si>
  <si>
    <t>Target Premium</t>
  </si>
  <si>
    <t xml:space="preserve">
In Universal Life Policies, this is the recommended premium the contract owner should pay on a regular basis. The contract owner can pay more or less premium as desired, subject to limits specified in the contract.
    </t>
  </si>
  <si>
    <t>Tariff Rate</t>
  </si>
  <si>
    <t xml:space="preserve">
Standard property-liability insurance premium set by regulation or rating bureau for a particular class of risk.
    </t>
  </si>
  <si>
    <t>Task Performer</t>
  </si>
  <si>
    <t xml:space="preserve">
The one that acts upon an activity to be performed.
    </t>
  </si>
  <si>
    <t>Tax</t>
  </si>
  <si>
    <t xml:space="preserve">
A financial provision that represents a tax. Taxes can be applied to premiums and benefits as well as on profit from investment.
    </t>
  </si>
  <si>
    <t>Tax  Governing Place</t>
  </si>
  <si>
    <t xml:space="preserve">
This represents the place that governs a tax (e.g. country, state, etc.).
    </t>
  </si>
  <si>
    <t>Tax Deduction</t>
  </si>
  <si>
    <t xml:space="preserve">
For taxable components, the TaxDeduction concept contains the rules regarding how taxes for the specified taxation entity should be deducted and withheld.  Its applicability is based on the component to which it is associated.
    </t>
  </si>
  <si>
    <t>Tax Exempt Organization Indicator</t>
  </si>
  <si>
    <t xml:space="preserve">
An indication of whether or not an organization is exempt from payment of taxes.
    </t>
  </si>
  <si>
    <t>Tax Provision Specification  Type Code</t>
  </si>
  <si>
    <t xml:space="preserve">
A code indicating the type of tax.
    </t>
  </si>
  <si>
    <t>Tax Registration</t>
  </si>
  <si>
    <t xml:space="preserve">
A registration issued by a tax assessing and collection authority to identify the tax paying status and history of a party.
e.g. The Social Security Number (SSN) for a person in the USA.
The Federal Employment Information Number (FEIN) for an organization in the USA.
    </t>
  </si>
  <si>
    <t>Tax Registration  Calculation Type Code</t>
  </si>
  <si>
    <t xml:space="preserve">
A code indicating how taxation has been taken into consideration when calculating the values represented by analytical measures.
    </t>
  </si>
  <si>
    <t>Tax Registration  Membership Type</t>
  </si>
  <si>
    <t xml:space="preserve">
For instance, it specifies the social security membership type such a principal contract holder, or an attached one.
    </t>
  </si>
  <si>
    <t>Tax Registration  Registrant</t>
  </si>
  <si>
    <t xml:space="preserve">
This represents the registrant (registered party) of a tax registration.
    </t>
  </si>
  <si>
    <t>TDA</t>
  </si>
  <si>
    <t xml:space="preserve">
Tax Deferred Annuity (TDA)
    </t>
  </si>
  <si>
    <t>Team</t>
  </si>
  <si>
    <t xml:space="preserve">
A organization working together for the completion of common goals. Teams can be formal (recognized by the organization) or informal (discussion groups). 
e.g: The cabin crew on an aircraft.
    </t>
  </si>
  <si>
    <t>Technical Account</t>
  </si>
  <si>
    <t xml:space="preserve">
The technical account is used by a sender to report to a receiver the latter's position in the sender's books with respect to one single reinsurance contract. It is in this sense a type of account for services rendered, and may initiate a payment flow either directly or via a periodical overview statement.
    </t>
  </si>
  <si>
    <t>Telecommunication Address</t>
  </si>
  <si>
    <t xml:space="preserve">
This concept rep[resents the means of identifying and locating a device on a telecommunication network.
    </t>
  </si>
  <si>
    <t>Telecommunication Address  Local Number</t>
  </si>
  <si>
    <t xml:space="preserve">
The local number (or subscriber number) must always be dialed in its entirety. The first few digits in the local number typically indicate smaller geographical areas or individual telephone exchanges. In mobile networks they may indicate a network provider in case the area code does not. Callers from a number with a given area/country code usually do not need to (but optionally may) include the particular area/country code in the number dialed, which enables shorter "dial strings" to be used. Devices that dial phone numbers automatically can include the full number with area and access codes, since there is no additional annoyance related to dialing extra digits.
SOURCE: http://en.wikipedia.org/wiki/Local_number#Local_number
Telex messages are routed by addressing them to a telex address, e.g., "14910 ERIC S", where 14910 is the subscriber number, ERIC is an abbreviation for the subscriber's name (in this case Telefonaktiebolaget L.M. Ericsson in Sweden) and S is the country code. Solutions also exist for the automatic routing of messages to different telex terminals within a subscriber organization, by using different terminal identities, e.g., "+T148".
SOURCE: http://en.wikipedia.org/wiki/Telex
    </t>
  </si>
  <si>
    <t>Telephone Call Contact</t>
  </si>
  <si>
    <t xml:space="preserve">
This concept represents a telephone as a means of contact.
    </t>
  </si>
  <si>
    <t>Telephone Call Contact  Network Type Code</t>
  </si>
  <si>
    <t xml:space="preserve">
A code identifying a type of telephone network contact.
    </t>
  </si>
  <si>
    <t>Telephone Call Contact  Telephone Number</t>
  </si>
  <si>
    <t xml:space="preserve">
This represents the telephone number "address" for a telephone call contact.
    </t>
  </si>
  <si>
    <t>Telephone Number</t>
  </si>
  <si>
    <t xml:space="preserve">
This concept represents a telephone number, including the various components which collectively represent it.
    </t>
  </si>
  <si>
    <t>Telephone Number  Area Code</t>
  </si>
  <si>
    <t xml:space="preserve">
Area codes are also known as Numbering Plan Areas (NPAs) and formerly known as STD codes in the UK. These are necessary (for the most part) only when dialed from outside the code area, from mobile phones, and (especially within North America) from within overlay plans. Area codes usually indicate geographical areas within one country that are covered by perhaps hundreds of telephone exchanges, although the correlation to geographical area is becoming obsolete.
    </t>
  </si>
  <si>
    <t>Telephone Number  Country Code</t>
  </si>
  <si>
    <t xml:space="preserve">
A code identifying the applicable country calling code.
    </t>
  </si>
  <si>
    <t>Telephone Number  Extension</t>
  </si>
  <si>
    <t xml:space="preserve">
The extension of a telephone number, typically used in business, and often found following the full telephone number.
e.g. 1 800 123 4567 ext. 890
    </t>
  </si>
  <si>
    <t>Telephone Number  Full Number</t>
  </si>
  <si>
    <t xml:space="preserve">
The full/complete telephone number.
    </t>
  </si>
  <si>
    <t>Telephone Number  Trunk Prefix</t>
  </si>
  <si>
    <t xml:space="preserve">
A trunk prefix is the number to be dialed in a domestic telephone call, preceding any necessary area codes and subscriber numbers. When the number is called from overseas, the trunk prefix is omitted by the caller. In most countries, such as Australia, Germany and the United Kingdom, the trunk prefix is 0. In the North American Numbering Plan it is 1.
For example, assume a call is to be made to someone in the Australian state of Queensland.  A caller from outside Australia would dial the international access number (international call prefix) of the originating country (00 for many countries, 011 from NANP areas), then dial the country code (in this case 61), omit the trunk prefix, then dial the area code (7), and then the local number: 00 61 7 3333 3333.
Calling interstate (e.g. from Western Australia), a caller would not dial an international access number or country code, but dial the trunk prefix then the area code, followed by the telephone number: 0 7 3333 3333
    </t>
  </si>
  <si>
    <t>Telex Contact</t>
  </si>
  <si>
    <t xml:space="preserve">
This concept represents a telex as a means of contact.
    </t>
  </si>
  <si>
    <t>Telex Contact  Answer Back</t>
  </si>
  <si>
    <t xml:space="preserve">
Telex answer back.
    </t>
  </si>
  <si>
    <t>Telex Contact  Telex Number</t>
  </si>
  <si>
    <t xml:space="preserve">
This represents the telex number "address" for a telex contact.
    </t>
  </si>
  <si>
    <t>Telex Contact  Wru Code</t>
  </si>
  <si>
    <t xml:space="preserve">
A major advantage of telex is that the receipt of the message by the recipient could be confirmed with a high degree of certainty by the "answerback". At the beginning of the message, the sender would transmit a WRU (Who aRe yoU) code, and the recipient machine would automatically initiate a response which was usually encoded in a rotating drum with pegs, much like a music box. The position of the pegs sent an unambiguous identifying code to the sender, so the sender could verify connection to the correct recipient. The WRU code would also be sent at the end of the message, so a correct response would confirm that the connection had remained unbroken during the message transmission. This gave telex a major advantage over less verifiable forms of communications such as telephone and fax.
    </t>
  </si>
  <si>
    <t>Telex Number</t>
  </si>
  <si>
    <t xml:space="preserve">
The telex network is a switched network of teleprinters similar to a telephone network, for the purposes of sending text based messages. This network provided the first common media for international record communications using standard signaling techniques and operating criteria as specified by the International Telecommunications Union.
    </t>
  </si>
  <si>
    <t>Telex Number  Subscriber Name</t>
  </si>
  <si>
    <t xml:space="preserve">
Telex messages are routed by addressing them to a telex address, e.g., "14910 ERIC S", where 14910 is the subscriber number, ERIC is an abbreviation for the subscriber's name (in this case Telefonaktiebolaget L. M. Ericsson in Sweden) and S is the country code. Solutions also exist for the automatic routing of messages to different telex terminals within a subscriber organization, by using different terminal identities, e.g., "+T148".
    </t>
  </si>
  <si>
    <t>Telex Number  Terminal Identity</t>
  </si>
  <si>
    <t>Temporary Partial Disability</t>
  </si>
  <si>
    <t xml:space="preserve">
Disability in which a wage earner is prevented from working at full physical capability because of injury or illness for a specified period of time.
    </t>
  </si>
  <si>
    <t>Temporary Total Disability</t>
  </si>
  <si>
    <t xml:space="preserve">
Inability of an individual to perform any and all important daily duties of that individual's occupation for a specified period of time.
    </t>
  </si>
  <si>
    <t>Term And Condition</t>
  </si>
  <si>
    <t xml:space="preserve">
A document template used to describe in textual statements the rights and obligations of each party in any kind of agreement. Typically terms and conditions are expressed as clauses in insurance contracts. The term and condition is structured in a specific way so that they may be used over and over again. For example, it could be structured with blanks, static text blocks or dynamic text blocks.
    </t>
  </si>
  <si>
    <t>Termination Reason</t>
  </si>
  <si>
    <t xml:space="preserve">
The condition which resulted in the formal ending of an insurance agreement by its natural expiration, cancellation or commutation by the contract parties.
    </t>
  </si>
  <si>
    <t>Tertiary Health Care</t>
  </si>
  <si>
    <t xml:space="preserve">
Refers to medical and related services of high complexity and usually high cost. Those referred from secondary health care for diagnosis and treatment, and which are not available in primary health care and secondary health care.
    </t>
  </si>
  <si>
    <t>Test Result</t>
  </si>
  <si>
    <t xml:space="preserve">
This represents the result of a test. For example, a person might be the subject of a medical test and this would account for the corresponding result.
    </t>
  </si>
  <si>
    <t>Test Result  Last Acceptable Result Date Time</t>
  </si>
  <si>
    <t xml:space="preserve">
The last date (and time) on which this specific test was concluded as "acceptable".
    </t>
  </si>
  <si>
    <t>Test Result  Requirements Satisfied Indicator</t>
  </si>
  <si>
    <t xml:space="preserve">
This indicates requirements specific to the object have been assessed and determined to be satisfied. The nature of the assessment that served as the basis of the assessment result provides insight on the nature of the requirements. For example, a safety inspection involving a structure's electrical system might conclude the system satisfies applicable compliance requirements.
    </t>
  </si>
  <si>
    <t>Test Result  Result</t>
  </si>
  <si>
    <t xml:space="preserve">
Described the official conclusion of the test performed.
    </t>
  </si>
  <si>
    <t>Test Result  Result Date Time</t>
  </si>
  <si>
    <t xml:space="preserve">
The date (and time) when the results of the test were known.
    </t>
  </si>
  <si>
    <t>Testimony</t>
  </si>
  <si>
    <t xml:space="preserve">
This is the description of the testimony done by one or several witnesses
    </t>
  </si>
  <si>
    <t>Testimony  Admissibility Indicator</t>
  </si>
  <si>
    <t xml:space="preserve">
Identifies if the testimony is admissible.
    </t>
  </si>
  <si>
    <t>Testimony  Date Time</t>
  </si>
  <si>
    <t xml:space="preserve">
The date (and time) of the testimony.
    </t>
  </si>
  <si>
    <t>Testimony  Description</t>
  </si>
  <si>
    <t xml:space="preserve">
Description of the testimony
    </t>
  </si>
  <si>
    <t>Testimony  Providing Witness</t>
  </si>
  <si>
    <t xml:space="preserve">
This represents the witness that provided testimony.
    </t>
  </si>
  <si>
    <t>Text Contact</t>
  </si>
  <si>
    <t xml:space="preserve">
This concept represents a contact accomplished via Short Message Service (SMS) text only messaging.
    </t>
  </si>
  <si>
    <t>Text Contact  Identifying Telephone Number</t>
  </si>
  <si>
    <t xml:space="preserve">
This represents the telephone number "address" for a text contact.
    </t>
  </si>
  <si>
    <t>TFSA</t>
  </si>
  <si>
    <t xml:space="preserve">
Tax Free Savings Account (TFSA)
    </t>
  </si>
  <si>
    <t>Third Party Administrator</t>
  </si>
  <si>
    <t xml:space="preserve">
An entity that has been contracted by an insurer or reinsurer to administer identified services. These services may include claims administration, premium collection, enrollment, and other administrative functions. Within the London subscription market this will include the "bureau" that provides contract signing, premium and claims processing, and settlement of balances, etc. on behalf of all insurers/reinsurers.
    </t>
  </si>
  <si>
    <t>Third Party Claims</t>
  </si>
  <si>
    <t xml:space="preserve">
Liability claims brought by persons allegedly injured or harmed by the insured. The insured is the first party, the insurer the second party, and the claimant is the third party.
    </t>
  </si>
  <si>
    <t>Third Party Data Supplier</t>
  </si>
  <si>
    <t xml:space="preserve">
Person or organization who provides a company with information such as medical information, driver history, credit score, lab reports, replacement costs, risk information, etc. (For example: ISO, MIB).
    </t>
  </si>
  <si>
    <t>Third Party Liability</t>
  </si>
  <si>
    <t xml:space="preserve">
A legal obligation to a person or organization other than the insured.
    </t>
  </si>
  <si>
    <t>Thunderstorm</t>
  </si>
  <si>
    <t xml:space="preserve">
A thunderstorm, also known as an electrical storm, a lightning storm, thundershower or simply a storm, is a form of turbulent weather characterized by the presence of lightning and its acoustic effect on the Earth's atmosphere known as thunder.
    </t>
  </si>
  <si>
    <t>Thunderstorm  Rainfall Measurement</t>
  </si>
  <si>
    <t>Thunderstorm  Wind Speed Measurement</t>
  </si>
  <si>
    <t>TIA</t>
  </si>
  <si>
    <t xml:space="preserve">
Temporary Insurance Agreement (TIA)
    </t>
  </si>
  <si>
    <t>Tie Downs</t>
  </si>
  <si>
    <t xml:space="preserve">
Tie-downs are systems of heavy-duty straps and anchors designed to stabilize manufactured homes (also known as mobile homes) during high winds.
    </t>
  </si>
  <si>
    <t>Tie Downs  Type Code</t>
  </si>
  <si>
    <t xml:space="preserve">
A code indicating the type of tie downs being utilized.
    </t>
  </si>
  <si>
    <t>Time Account</t>
  </si>
  <si>
    <t xml:space="preserve">
An account expressed in terms of units of time period (e.g., years and months).  
e.g.: The pension rights accumulation account of Jane  based on her years of service to the insurance company.
    </t>
  </si>
  <si>
    <t>Time Entry Detail</t>
  </si>
  <si>
    <t xml:space="preserve">
An account entry on a time account. The defining characteristic is the quantity that is recorded as units of time period. 
e.g: An entry of 4 years and 6 months employment at a company on an individual time account for retirement rights accumulation. 
e.g: An entry of 5 months from long term illness on an individual time account for long term disability rights accumulation. 
e.g: An entry of 8 months serving civil duty in the Dutch army on an individual time account for retirement rights accumulation.
    </t>
  </si>
  <si>
    <t>Time Entry Detail  Duration</t>
  </si>
  <si>
    <t xml:space="preserve">
The quantity as a duration recorded in the time entry detail. 
e.g: A credit of 5 months from long term illness. 
e.g: A credit of 8 months serving civil duty in the Dutch army.
    </t>
  </si>
  <si>
    <t>Time Off Work</t>
  </si>
  <si>
    <t xml:space="preserve">
Length of time that an individual is not able to work due to an illness or injury.
    </t>
  </si>
  <si>
    <t>Time Period  End Date Time</t>
  </si>
  <si>
    <t xml:space="preserve">
The end date/time of the time period.  
The start and end date/time values are considered inclusive.  This means that the expressed endDateTime is the last point in time considered to be in the specified Time Period.
    </t>
  </si>
  <si>
    <t>Time Period  Start Date Time</t>
  </si>
  <si>
    <t xml:space="preserve">
The start date/time of the time period.  
The start and end date/time values are considered inclusive.  This means that the expressed startDateTime is the first point in time considered to be in the specified Time Period.
    </t>
  </si>
  <si>
    <t>Timing Preference</t>
  </si>
  <si>
    <t xml:space="preserve">
The preferred times and days of contact.
e.g: Robert Paul prefers telephone contact on weekdays between 20:00 and 21:00.
    </t>
  </si>
  <si>
    <t>Timing Preference  End Day Of Week Code</t>
  </si>
  <si>
    <t xml:space="preserve">
The day of the week that ends the timing preference period.
e.g: Friday
    </t>
  </si>
  <si>
    <t>Timing Preference  End Time</t>
  </si>
  <si>
    <t xml:space="preserve">
The latest time for a contact to end within the period delimited by the start and end days of the week.
    </t>
  </si>
  <si>
    <t>Timing Preference  Start Day Of Week Code</t>
  </si>
  <si>
    <t xml:space="preserve">
The day of the week that starts the timing preference period.
e.g: Monday
    </t>
  </si>
  <si>
    <t>Timing Preference  Start Time</t>
  </si>
  <si>
    <t xml:space="preserve">
The earliest time for a contact to start within the period delimited by the start and end days of the week.
    </t>
  </si>
  <si>
    <t>TMEL</t>
  </si>
  <si>
    <t xml:space="preserve">
The Message Exchange Limited (TMEL)
    </t>
  </si>
  <si>
    <t>Tobacco Use</t>
  </si>
  <si>
    <t xml:space="preserve">
This concept accounts for tobacco use (if any) for a person.
    </t>
  </si>
  <si>
    <t>Tobacco Use  Type Code</t>
  </si>
  <si>
    <t xml:space="preserve">
Indicates the type of tobacco consumed.
    </t>
  </si>
  <si>
    <t>Tornado</t>
  </si>
  <si>
    <t xml:space="preserve">
A tornado is a violently rotating column of air that is in contact with both the surface of the earth and a cumulonimbus cloud or, in rare cases, the base of a cumulus cloud. They are often referred to as twisters or cyclones, although the word cyclone is used in meteorology, in a wider sense, to name any closed low pressure circulation.
    </t>
  </si>
  <si>
    <t>Tornado  Fujita Scale</t>
  </si>
  <si>
    <t xml:space="preserve">
The Fujita scale (F-Scale), or Fujita-Pearson scale, is a scale for rating tornado intensity, based on the damage tornadoes inflict on structures and vegetation.
    </t>
  </si>
  <si>
    <t>Tornado  Wind Speed Measurement</t>
  </si>
  <si>
    <t>Total Indemnity Amount Paid</t>
  </si>
  <si>
    <t xml:space="preserve">
The compensation paid for the loss.
    </t>
  </si>
  <si>
    <t>Total Loss</t>
  </si>
  <si>
    <t xml:space="preserve">
A loss of significant size so that it can be said there is nothing left of value. The complete destruction of the property. The term is also used to be a loss requiring the maximum amount a contract will pay.
    </t>
  </si>
  <si>
    <t>Total Payroll Amount</t>
  </si>
  <si>
    <t xml:space="preserve">
The monetary value of the annual total salary (payroll, total compensation, bonus, etc.) for this business.
    </t>
  </si>
  <si>
    <t>Trade Order</t>
  </si>
  <si>
    <t xml:space="preserve">
This concept materializes an order that has to be sent to the stockbroker from the  insurer and traded on the stock market.
    </t>
  </si>
  <si>
    <t>Trade Order  Effective Quantity Of Unit Share</t>
  </si>
  <si>
    <t xml:space="preserve">
The effective quantity of unit shares traded when executed.
    </t>
  </si>
  <si>
    <t>Trade Order  Governing Trade Rule</t>
  </si>
  <si>
    <t xml:space="preserve">
This represents a trade rule governing a trade order.
    </t>
  </si>
  <si>
    <t>Trade Order  Sending Insurance Company</t>
  </si>
  <si>
    <t xml:space="preserve">
This represents the insurance company sending a trade order.
    </t>
  </si>
  <si>
    <t>Trade Order  Trading Stockbroker</t>
  </si>
  <si>
    <t xml:space="preserve">
This represents the stockbroker trading trade orders.
    </t>
  </si>
  <si>
    <t>Trade Order Status</t>
  </si>
  <si>
    <t xml:space="preserve">
This represents the status of a trade order.
    </t>
  </si>
  <si>
    <t>Trade Rule</t>
  </si>
  <si>
    <t xml:space="preserve">
This concept generalizes options that can be defined by the insurer to set up its back office administration (buffer stock rules, calendar rules, etc.)
    </t>
  </si>
  <si>
    <t>Trade Rule  Description</t>
  </si>
  <si>
    <t xml:space="preserve">
Description of trade rule.
    </t>
  </si>
  <si>
    <t>Trade Rule  Effective Period</t>
  </si>
  <si>
    <t xml:space="preserve">
The period for which this trade rule is in effect.
    </t>
  </si>
  <si>
    <t>Trade Rule  Option Identifier</t>
  </si>
  <si>
    <t xml:space="preserve">
An identifier assigned to a trade rule option for identification purposes.
    </t>
  </si>
  <si>
    <t>Trade Rule Status</t>
  </si>
  <si>
    <t xml:space="preserve">
This represents the status of a trade rule.
    </t>
  </si>
  <si>
    <t>Trade Rule Status  Code</t>
  </si>
  <si>
    <t xml:space="preserve">
Status of trade rule.
    </t>
  </si>
  <si>
    <t>Trailer</t>
  </si>
  <si>
    <t xml:space="preserve">
A trailer is generally an unpowered vehicle pulled by a powered vehicle.
    </t>
  </si>
  <si>
    <t>Trailer Specification</t>
  </si>
  <si>
    <t xml:space="preserve">
This represents the specification of the characteristics of a trailer.
    </t>
  </si>
  <si>
    <t>Trailer Specification  Type Code</t>
  </si>
  <si>
    <t xml:space="preserve">
This represents a type of trailer.
    </t>
  </si>
  <si>
    <t>Train</t>
  </si>
  <si>
    <t xml:space="preserve">
A train is a connected series of railway vehicles propelled along a track (or "permanent way") to transport cargo or passengers.
    </t>
  </si>
  <si>
    <t>Training</t>
  </si>
  <si>
    <t xml:space="preserve">
An activity comprising specialized instruction and practice, to make a party become proficient in a specific subject area. At the end of the training, the trainee is expected to achieve full competence in the subject area being taught. The teacher is the trainer. A training activity may be organized internally by the insurer or offered by third parties. It may lead to a status recognized internally by the insurer, or to externally-recognized industry qualifications.
    </t>
  </si>
  <si>
    <t>Training  Course Language Code</t>
  </si>
  <si>
    <t xml:space="preserve">
A code representing the language used in a training activity (see ISO 639).
    </t>
  </si>
  <si>
    <t>Training  Format Of Training Code</t>
  </si>
  <si>
    <t xml:space="preserve">
The format in which the training is conducted.
    </t>
  </si>
  <si>
    <t>Trampoline</t>
  </si>
  <si>
    <t xml:space="preserve">
A trampoline is a device consisting of a piece of taut, strong fabric stretched over a steel frame using many coiled springs.
    </t>
  </si>
  <si>
    <t>Trampoline  Safety Net Indicator</t>
  </si>
  <si>
    <t xml:space="preserve">
This indicates whether the trampoline has a safety net.
    </t>
  </si>
  <si>
    <t>Trampoline Specification</t>
  </si>
  <si>
    <t xml:space="preserve">
This represents the specification of the characteristics of a trampoline.
    </t>
  </si>
  <si>
    <t>Transfer Request</t>
  </si>
  <si>
    <t xml:space="preserve">
This concept materializes the request of a client to transfer his contract
    </t>
  </si>
  <si>
    <t>Transfer Request  Agreement Number Transferred</t>
  </si>
  <si>
    <t xml:space="preserve">
This is the previous contract number before transfer
    </t>
  </si>
  <si>
    <t>Transfer Request  Opening Date Time</t>
  </si>
  <si>
    <t xml:space="preserve">
The opening date (and time) of the transfered contract in the original company.
    </t>
  </si>
  <si>
    <t>Transfer Request  Transfer Reason Code</t>
  </si>
  <si>
    <t xml:space="preserve">
A code indicating the reason for the transfer of the agreement.
    </t>
  </si>
  <si>
    <t>Transmission</t>
  </si>
  <si>
    <t xml:space="preserve">
A transmission is an assembly of parts including the speed-changing gears and the propeller shaft by which the power is transmitted from an engine to a live axle.
    </t>
  </si>
  <si>
    <t>Transmission Specification</t>
  </si>
  <si>
    <t xml:space="preserve">
This represents the specification of the characteristics of a transmission.
    </t>
  </si>
  <si>
    <t>Transmission Specification  Type Code</t>
  </si>
  <si>
    <t xml:space="preserve">
This indicates the type of transmission.
    </t>
  </si>
  <si>
    <t>Transport Means Owner</t>
  </si>
  <si>
    <t xml:space="preserve">
The owner of the means of transport associated with a risk (e.g. ship owner, haulage contractor).
    </t>
  </si>
  <si>
    <t>Travel Coverage And Geographical Areas</t>
  </si>
  <si>
    <t xml:space="preserve">
The geographical areas in which coverage is effective in the context of travel insurance.
    </t>
  </si>
  <si>
    <t>Travel Environment</t>
  </si>
  <si>
    <t xml:space="preserve">
Travel environment of the places you frequent most or plan to travel to most.
    </t>
  </si>
  <si>
    <t>Travel Experience</t>
  </si>
  <si>
    <t xml:space="preserve">
This represents travel experience as a lifestyle activity (e.g. leisure pursuit).
    </t>
  </si>
  <si>
    <t>Travel Family</t>
  </si>
  <si>
    <t xml:space="preserve">
Group of people that are all members of a household under one roof or who share common ancestry that are traveling together on a same trip.
    </t>
  </si>
  <si>
    <t>Travel Group</t>
  </si>
  <si>
    <t xml:space="preserve">
A collection of people traveling together on a same trip.
    </t>
  </si>
  <si>
    <t>Treatment Facility</t>
  </si>
  <si>
    <t xml:space="preserve">
The person or organization providing medical or health treatments.
    </t>
  </si>
  <si>
    <t>Treatment Physician</t>
  </si>
  <si>
    <t xml:space="preserve">
The primary medical physician prescribing and administering treatment.
    </t>
  </si>
  <si>
    <t>TRIA</t>
  </si>
  <si>
    <t xml:space="preserve">
Terrorism Risk Insurance Act (TRIA)
    </t>
  </si>
  <si>
    <t>Truck</t>
  </si>
  <si>
    <t xml:space="preserve">
A truck (US, CA, AU, NZ) or lorry (AU, UK and Ireland) is a motor vehicle designed to transport cargo. Trucks vary greatly in size, power, and configuration, with the smallest being mechanically similar to an automobile.
    </t>
  </si>
  <si>
    <t>Truck Specification</t>
  </si>
  <si>
    <t xml:space="preserve">
This represents the specification of the characteristics of a truck.
    </t>
  </si>
  <si>
    <t>Truck Specification  Body Style Code</t>
  </si>
  <si>
    <t xml:space="preserve">
This represents a body style of a truck.
    </t>
  </si>
  <si>
    <t>Truck Specification  Extended Cab Indicator</t>
  </si>
  <si>
    <t xml:space="preserve">
This indicates the truck cab is extended (e.g. lengthened).
    </t>
  </si>
  <si>
    <t>Truck Specification  Extended Chassis Indicator</t>
  </si>
  <si>
    <t xml:space="preserve">
This indicates the truck chassis is extended (e.g. lengthened).
    </t>
  </si>
  <si>
    <t>Trust Agreement</t>
  </si>
  <si>
    <t xml:space="preserve">
1: An attachment or rider to a life insurance contract stipulating that proceeds should be paid into a trust under certain conditions. 2: A legal document setting out the rules to be followed by a trustee in administering the assets under a trust, or agreement whereby a person transfers property to another person or entity to hold and manage for the benefit of another. (beneficiary)
    </t>
  </si>
  <si>
    <t>TSA</t>
  </si>
  <si>
    <t xml:space="preserve">
Tax Sheltered Annuity (TSA)
    </t>
  </si>
  <si>
    <t>TSH</t>
  </si>
  <si>
    <t xml:space="preserve">
Thyroid Stimulating Hormone (TSH)
    </t>
  </si>
  <si>
    <t>TSI</t>
  </si>
  <si>
    <t xml:space="preserve">
Total Sum Insured (TSI)
    </t>
  </si>
  <si>
    <t>TSIA</t>
  </si>
  <si>
    <t xml:space="preserve">
Technology Services Industry Association (TSIA)
    </t>
  </si>
  <si>
    <t>Tsunami</t>
  </si>
  <si>
    <t xml:space="preserve">
A tsunami or tidal wave is a series of water waves caused by the displacement of a large volume of a body of water, usually an ocean, but can occur in large lakes. Due to the immense volumes of water and energy involved, tsunamis can devastate coastal regions.
    </t>
  </si>
  <si>
    <t>Tsunami  Rainfall Measurement</t>
  </si>
  <si>
    <t>Tsunami  Wind Speed Measurement</t>
  </si>
  <si>
    <t>Turbine Engine</t>
  </si>
  <si>
    <t xml:space="preserve">
A gas turbine, also called a combustion turbine, is a type of internal combustion engine. It has an upstream rotating compressor coupled to a downstream turbine, and a combustion chamber in-between.
    </t>
  </si>
  <si>
    <t>Turbine Engine Specification</t>
  </si>
  <si>
    <t xml:space="preserve">
This represents the specification for a turbine engine.
    </t>
  </si>
  <si>
    <t>Turbine Engine Specification  Type Code</t>
  </si>
  <si>
    <t xml:space="preserve">
This represents a type of turbine engine.
    </t>
  </si>
  <si>
    <t>UCR</t>
  </si>
  <si>
    <t xml:space="preserve">
Usual, Customary and Reasonable (UCR)
    </t>
  </si>
  <si>
    <t>UL</t>
  </si>
  <si>
    <t xml:space="preserve">
Underwriters Laboratory (UL)
    </t>
  </si>
  <si>
    <t>Ultimate Ceded Amount</t>
  </si>
  <si>
    <t xml:space="preserve">
For coverages that have an increasing risk amount, this is the maximum amount that will ever be reinsured
    </t>
  </si>
  <si>
    <t>Ultra Lite Experience</t>
  </si>
  <si>
    <t xml:space="preserve">
This represents ultra-lite experience as a lifestyle activity (e.g. leisure pursuit).
    </t>
  </si>
  <si>
    <t>UML</t>
  </si>
  <si>
    <t xml:space="preserve">
Unified Modeling Language (UML)
    </t>
  </si>
  <si>
    <t>UMR</t>
  </si>
  <si>
    <t xml:space="preserve">
Unique Market Reference (UMR)
    </t>
  </si>
  <si>
    <t>UN</t>
  </si>
  <si>
    <t xml:space="preserve">
United Nations (UN)
    </t>
  </si>
  <si>
    <t>UNCEFACT</t>
  </si>
  <si>
    <t xml:space="preserve">
United Nations Centre for Trade Facilitation and Electronic Business (UNCEFACT)
    </t>
  </si>
  <si>
    <t>Uncompensated Care</t>
  </si>
  <si>
    <t xml:space="preserve">
Health care rendered by health care providers to persons unable to pay and not covered by private or governmental health insurance plans.
    </t>
  </si>
  <si>
    <t>Underlying Premium</t>
  </si>
  <si>
    <t xml:space="preserve">
Underlying premium for the period as defined in the contract - gross or net - to which the premium rate is applied to produce the contract premium.
    </t>
  </si>
  <si>
    <t>Underwater Diving Experience</t>
  </si>
  <si>
    <t xml:space="preserve">
This represents underwater diving experience as a lifestyle activity (e.g. leisure pursuit).
    </t>
  </si>
  <si>
    <t>Underwriting Authority</t>
  </si>
  <si>
    <t xml:space="preserve">
The limits on underwriting decisions that can be made without receiving approval from someone at a higher level.
    </t>
  </si>
  <si>
    <t>Underwriting Manager</t>
  </si>
  <si>
    <t xml:space="preserve">
The organization or person overseeing the risk evaluation process.
    </t>
  </si>
  <si>
    <t>Underwriting Organization</t>
  </si>
  <si>
    <t xml:space="preserve">
The organization which underwrote a specified financial services contract.
    </t>
  </si>
  <si>
    <t>Unearned Premium</t>
  </si>
  <si>
    <t xml:space="preserve">
The portion of premiums paid by an insured that represents the unexpired part of the contract period.
    </t>
  </si>
  <si>
    <t>Unearned Premium Reserve</t>
  </si>
  <si>
    <t xml:space="preserve">
Fund that contains the portion of the premium that has been paid in advance for insurance that has not yet been provided. For example, if a business pays an annual premium of $1000 on January 1, the money is not earned by the insurer until the insurance coverage has been provided. On July 1, $500 would have been earned and $500 would remain as unearned premium, belonging to the policyholder. If either party cancels the contract, the insurer must have the unearned premium ready to refund. For this reason, insurance regulators require that insurers maintain an unearned premium reserve so that, in the event an insurer must be liquidated, there is enough money to pay claims and refund the unearned premium. Because computations for individual policies were cumbersome, formulas were devised in the past for calculating unearned premium reserves. E.g. 1/12th or 1/24th premium reserve calculation.
    </t>
  </si>
  <si>
    <t>Unearned Premium Reserve Basis</t>
  </si>
  <si>
    <t xml:space="preserve">
A formula used to calculate the amount to be retained as a premium reserve. For example, gross premium or net premium.
    </t>
  </si>
  <si>
    <t>UNECE</t>
  </si>
  <si>
    <t xml:space="preserve">
United Nations Economic Commission for Europe (UNECE)
    </t>
  </si>
  <si>
    <t>UNEDIFACT</t>
  </si>
  <si>
    <t xml:space="preserve">
United Nations/Electronic Data Interchange For Administration, Commerce and Transport (UN/EDIFACT)
    </t>
  </si>
  <si>
    <t>Uniform Resource Locator</t>
  </si>
  <si>
    <t xml:space="preserve">
In addition to identifying a network-homed resource, a Uniform Resource Locator (URL) specifies the means of acting upon or obtaining the representation: either through description of the primary access mechanism, or through network "location." For example, the URL http://www.wikipedia.org/ identifies a resource (Wikipedia's home page) and implies that a representation of that resource (such as the home page's current HTML code, as encoded characters) is obtainable via HTTP from a network host named www.wikipedia.org
    </t>
  </si>
  <si>
    <t>Uninsurable</t>
  </si>
  <si>
    <t xml:space="preserve">
High-risk person or organization that fails to meet the risk qualification and underwriting guidelines or requirements.
    </t>
  </si>
  <si>
    <t>Uninsured Loss Recovery</t>
  </si>
  <si>
    <t xml:space="preserve">
Indicates for the claim that there are losses for which the claimant is not insured and for which the insurer attempts to recover the loss and expenses from a third party or its insurer.
    </t>
  </si>
  <si>
    <t>Unit Based Fund</t>
  </si>
  <si>
    <t xml:space="preserve">
This concept represents a fund based on unit.
    </t>
  </si>
  <si>
    <t>Unit Based Fund  Count</t>
  </si>
  <si>
    <t xml:space="preserve">
The number of units this fund is split into at a specific point in time. Funds may be split into a number of units to manage the ownership rights the various parties have with respect to the value of the fund.  The number of units in a fund will vary over time as more parties invest in or disinvest from the fund.
    </t>
  </si>
  <si>
    <t>Unit Based Fund  Minimum Technical Return Percentage</t>
  </si>
  <si>
    <t xml:space="preserve">
Guaranteed minimum rate of return.
    </t>
  </si>
  <si>
    <t>Unit Report</t>
  </si>
  <si>
    <t xml:space="preserve">
A form submitted by companies for reporting workers compensation insurance statistical data. It includes contract level detail regarding exposures, classifications and premiums, and losses at an individual employer level by state.
    </t>
  </si>
  <si>
    <t>Unlicensed Operator</t>
  </si>
  <si>
    <t xml:space="preserve">
An individual who lacks proper credentials to operate a certain class of vehicle or equipment.
    </t>
  </si>
  <si>
    <t>Unscheduled Premium</t>
  </si>
  <si>
    <t xml:space="preserve">
A Life, Annuity, or Health contract provision that allows a contractholder to make additional, unscheduled premium payments at any time to build equity in the contract investment feature.
    </t>
  </si>
  <si>
    <t>Unspecified Content</t>
  </si>
  <si>
    <t xml:space="preserve">
Communication content not based on a standard text specification but expressed in a free format.
    </t>
  </si>
  <si>
    <t>Up-Sell</t>
  </si>
  <si>
    <t xml:space="preserve">
Up-sell is a marketing term for the practice of suggesting higher priced products or services to a customer who is considering a purchase. An up-sell offer is typically for a better version of the same product or service you are considering.
    </t>
  </si>
  <si>
    <t>Up-Sell / Cross Sell Strategy</t>
  </si>
  <si>
    <t xml:space="preserve">
A plan on how to utilize up-sell and cross-sell techniques.? An example would be: identify and analyze an existing customer base and develop target customer groups who have certain characteristics and outline techniques to up-sell and cross-sell new products.
    </t>
  </si>
  <si>
    <t>URL</t>
  </si>
  <si>
    <t xml:space="preserve">
Uniform Resource Locator (URL)
    </t>
  </si>
  <si>
    <t>US DOT Rating</t>
  </si>
  <si>
    <t xml:space="preserve">
A rating provided by the US Department of Transportation (DOT) for use when ICC (Interstate Commerce Commission) or PUC (Public Utilities Commission) filings are made.
    </t>
  </si>
  <si>
    <t>USA</t>
  </si>
  <si>
    <t xml:space="preserve">
United States of America (USA)
    </t>
  </si>
  <si>
    <t>Usage Agreement</t>
  </si>
  <si>
    <t xml:space="preserve">
This represents an agreement in which something is being provided (e.g. land, structure(s), vehicle(s), employee(s), etc.) for the use of another party (e.g. lease agreement, rental agreement, etc.).
    </t>
  </si>
  <si>
    <t>Usage Agreement  Nature Code</t>
  </si>
  <si>
    <t xml:space="preserve">
This represents the nature of a usage agreement (e.g. lease, rent, etc.).
    </t>
  </si>
  <si>
    <t>USD</t>
  </si>
  <si>
    <t xml:space="preserve">
United States Dollar (USD)
    </t>
  </si>
  <si>
    <t>UTM</t>
  </si>
  <si>
    <t xml:space="preserve">
Universal Transverse Mercator (UTM)
    </t>
  </si>
  <si>
    <t>UTUIA</t>
  </si>
  <si>
    <t xml:space="preserve">
United Transportation Union Insurance Association (UTUIA)
    </t>
  </si>
  <si>
    <t>UUID</t>
  </si>
  <si>
    <t xml:space="preserve">
Universally Unique Identifier (UUID)
    </t>
  </si>
  <si>
    <t>Valuation</t>
  </si>
  <si>
    <t xml:space="preserve">
The process of determining the current worth of an asset or company. In Property &amp; Casualty, it is often used in assessing property soon to be insured or that which suffered a loss. In Life, it can be determining the value of a contract or company reserves.
    </t>
  </si>
  <si>
    <t>Valuation Class</t>
  </si>
  <si>
    <t xml:space="preserve">
The product category is required to determine those reserve calculations that represent the amount an insurer estimates it will need to pay contract benefits as they come due.
    </t>
  </si>
  <si>
    <t>Valuation of Loss</t>
  </si>
  <si>
    <t xml:space="preserve">
Method of setting a dollar value on loss suffered by an insured.
    </t>
  </si>
  <si>
    <t>Van</t>
  </si>
  <si>
    <t xml:space="preserve">
A van is a kind of vehicle used for transporting goods or people.
    </t>
  </si>
  <si>
    <t>Van Specification</t>
  </si>
  <si>
    <t xml:space="preserve">
This represents the specification of the characteristics of a van.
    </t>
  </si>
  <si>
    <t>Van Specification  Body Style Code</t>
  </si>
  <si>
    <t xml:space="preserve">
This represents a body style of a van.
    </t>
  </si>
  <si>
    <t>Van Specification  Extended Cab Indicator</t>
  </si>
  <si>
    <t xml:space="preserve">
This indicates the van cab is extended (e.g. lengthened).
    </t>
  </si>
  <si>
    <t>Van Specification  Extended Chassis Indicator</t>
  </si>
  <si>
    <t xml:space="preserve">
This indicates the van chassis is extended (e.g. lengthened).
    </t>
  </si>
  <si>
    <t>Vanishing Premium</t>
  </si>
  <si>
    <t>Variable Projection Method</t>
  </si>
  <si>
    <t xml:space="preserve">
This is only used for variable, unit-based products, and indicates how to treat the underlying variable accounts during the life of the illustration. The variable projection type will allow you to select from several options: using a designated fixed, interest-bearing, projection account, using hypothetical future fund values, or using historical account values.
    </t>
  </si>
  <si>
    <t>Variable Universal Life</t>
  </si>
  <si>
    <t xml:space="preserve">
This combines features of the Universal Life and Variable Life Insurance in that excess interested credited to the cash value account depends on investment results of separate accounts (equities, bonds, real estate, etc.).
    </t>
  </si>
  <si>
    <t>Vault</t>
  </si>
  <si>
    <t xml:space="preserve">
This represents various aspects about the vault(s) in a structure.
A bank vault (or strongroom) is a secure space where money, valuables, records, and documents can be stored. It is intended to protect their contents from theft, unauthorized use, fire, natural disasters, and other threats, just like a safe. But unlike safes, vaults are an integral part of the building within which they are built, using armored walls and a tightly fashioned door closed with a complex lock.
    </t>
  </si>
  <si>
    <t>Vault  Openings Count</t>
  </si>
  <si>
    <t xml:space="preserve">
This represents count of openings (doors, windows and vents) in the vault.
    </t>
  </si>
  <si>
    <t>VAWT</t>
  </si>
  <si>
    <t xml:space="preserve">
Vertical-Axis Wind Turbine (VAWT)
    </t>
  </si>
  <si>
    <t>VDV</t>
  </si>
  <si>
    <t xml:space="preserve">
Versicherungs-Daten-Verarbeitung Klaus Reimer GmbH (VDV)
    </t>
  </si>
  <si>
    <t>VEBA</t>
  </si>
  <si>
    <t xml:space="preserve">
Voluntary Employees Beneficiary Association (VEBA)
    </t>
  </si>
  <si>
    <t>Vehicle</t>
  </si>
  <si>
    <t xml:space="preserve">
This concept gives particular features of a vehicle. This is the generalization of all types of vehicles.
The "motor vehicle" term is commonly used in vehicle registration and financial responsibility statutes. It is generally defined to mean a device capable of transporting people or property which is self-propelled by mechanical or electrical power. However, state "motor vehicle" definitions usually contain a list of exceptions of the kinds of vehicles that do not qualify, e.g., vehicles that are not designed for use on public roads, vehicles propelled solely by human power, bicycles, motorized wheelchairs or other electric personal assisting mobility devices, farm tractors, implements of husbandry, motorized bicycles, mopeds, snowmobiles, all-terrain vehicles, motor scooters, and vehicles running only upon rails or tracks. Each state's "motor vehicle" definition must be examined closely to see what types of vehicles qualify and what types do not. Any non-exempt vehicle that qualifies under a state statutory definition of a "motor vehicle" may be subject to that state's licensing, registration and/or financial responsibility laws.
    </t>
  </si>
  <si>
    <t>Vehicle  Actual Maximum Speed</t>
  </si>
  <si>
    <t xml:space="preserve">
This represents the actual maximum speed attainable by the vehicle independent of its design (e.g. the vehicle may have been modified after it was manufactured and therefore its actual maximum speed may be different than the maximum speed for which its was designed).
    </t>
  </si>
  <si>
    <t>Vehicle Anti Theft Equipment</t>
  </si>
  <si>
    <t xml:space="preserve">
This concept gives details on anti-theft equipments for a Vehicle.
    </t>
  </si>
  <si>
    <t>Vehicle Anti Theft Equipment Specification</t>
  </si>
  <si>
    <t xml:space="preserve">
This represents the specification of the characteristics of a vehicle anti-theft equipment item.
    </t>
  </si>
  <si>
    <t>Vehicle Anti Theft Equipment Specification  Product Code</t>
  </si>
  <si>
    <t xml:space="preserve">
This identifies the product type for the anti-theft device/equipment.
    </t>
  </si>
  <si>
    <t>Vehicle Anti Theft Equipment Specification  Type Code</t>
  </si>
  <si>
    <t xml:space="preserve">
This identifies the principal anti-theft device/equipment found on the vehicle.
    </t>
  </si>
  <si>
    <t>Vehicle Identification Number</t>
  </si>
  <si>
    <t xml:space="preserve">
A vehicle identification number, commonly abbreviated to VIN, is a unique code including a serial number, used by the automotive industry to identify individual motor vehicles, towed vehicles, motorcycles, scooters and mopeds as defined in ISO 3833.
    </t>
  </si>
  <si>
    <t>Vehicle Loss Event</t>
  </si>
  <si>
    <t xml:space="preserve">
An event involving loss or damage associated with a vehicle.
e.g. vehicle accident, theft, vehicle breakdown, bodily injury or property damage caused by a vehicle
    </t>
  </si>
  <si>
    <t>Vehicle Loss Event  Involved Vehicles Count</t>
  </si>
  <si>
    <t xml:space="preserve">
Count of vehicles involved in the event.
    </t>
  </si>
  <si>
    <t>Vehicle Loss Event  Pile Up Indicator</t>
  </si>
  <si>
    <t xml:space="preserve">
This indicates a multi-vehicle loss.
    </t>
  </si>
  <si>
    <t>Vehicle Primary Class Code</t>
  </si>
  <si>
    <t xml:space="preserve">
See Primary Class Code.
    </t>
  </si>
  <si>
    <t>Vehicle Primary Rating Factor</t>
  </si>
  <si>
    <t xml:space="preserve">
The factor used, along with the secondary rating factor, in determining the liability premium. The primary rating factor, which is always positive, is based on the primary class. The primary rating factors for liability are Insurance Services Office standard.
    </t>
  </si>
  <si>
    <t>Vehicle Rating</t>
  </si>
  <si>
    <t xml:space="preserve">
This component contains information specific to how the subject of insurance is rated when the subject is a vehicle.
    </t>
  </si>
  <si>
    <t>Vehicle Registration</t>
  </si>
  <si>
    <t xml:space="preserve">
A recording by the Vehicle authorities of vehicle identifying information. 
e.g: Car registration number 123985.
    </t>
  </si>
  <si>
    <t>Vehicle Repair</t>
  </si>
  <si>
    <t xml:space="preserve">
This concept represents a vehicle repair mission performed by a repairman within a claim.
    </t>
  </si>
  <si>
    <t>Vehicle Repair  Repair Service Provider</t>
  </si>
  <si>
    <t xml:space="preserve">
This represents the repair service provider for vehicle repairs.
    </t>
  </si>
  <si>
    <t>Vehicle Secondary Rating Factor</t>
  </si>
  <si>
    <t xml:space="preserve">
The number used along with primary rating factors in determining premium. The secondary rating factor is based on the secondary class; unlike the primary rating factor, the secondary rating factor may be either positive or negative.
    </t>
  </si>
  <si>
    <t>Vehicle Special Equipment</t>
  </si>
  <si>
    <t xml:space="preserve">
Any special equipment that was put into the vehicle.
    </t>
  </si>
  <si>
    <t>Vehicle Specification</t>
  </si>
  <si>
    <t xml:space="preserve">
This represents the specification of the characteristics of a vehicle.
    </t>
  </si>
  <si>
    <t>Vehicle Specification  Carrying Weight Measurement</t>
  </si>
  <si>
    <t xml:space="preserve">
The figure stated by the manufacturer that represents the maximum that a vehicle based on this model can safely load.
e.g: The deadweight of the container ship is 28,955 DWT (deadweight tonnage).
    </t>
  </si>
  <si>
    <t>Vehicle Specification  Design Maximum Speed</t>
  </si>
  <si>
    <t xml:space="preserve">
This represents the maximum speed attainable by the vehicle per its design/specification.
    </t>
  </si>
  <si>
    <t>Vehicle Specification  Displacement Size</t>
  </si>
  <si>
    <t xml:space="preserve">
Indication of the displacement provoked by a vehicle when in motion. For road vehicles, it is expressed as the measurement of the surface of the frontal view of the road vehicle. For ships, it is expressed as the weight of the ship's hull, machinery, equipment and spares, or the volume of water displaced.
    </t>
  </si>
  <si>
    <t>Vehicle Specification  Interior Size Measurement</t>
  </si>
  <si>
    <t xml:space="preserve">
The total interior cubic capacity including cargo and cabin space.
    </t>
  </si>
  <si>
    <t>Vehicle Specification  Passenger Capacity Count</t>
  </si>
  <si>
    <t xml:space="preserve">
The maximum number of passengers that this vehicle model is allowed to convey.
    </t>
  </si>
  <si>
    <t>Vehicle Specification  Serial Number Etching Indicator</t>
  </si>
  <si>
    <t xml:space="preserve">
Indicates whether the vehicle model has the characteristic of having the vehicle identification number engraved onto various parts of its components.
    </t>
  </si>
  <si>
    <t>Vehicle Symbol Code</t>
  </si>
  <si>
    <t xml:space="preserve">
For Private Passenger rated vehicles there are symbols used to estimate risk potential. Examples include: collision symbol code, combined physical damage symbol, comprehensive symbol.
    </t>
  </si>
  <si>
    <t>Vehicle Towing</t>
  </si>
  <si>
    <t xml:space="preserve">
The activity of towing a vehicle . e.g: Towing of a car off the highway to a parking lot after breakdown. e.g: Towing of a car to nearest repair shop after accident.
    </t>
  </si>
  <si>
    <t>Vehicle Use Information</t>
  </si>
  <si>
    <t xml:space="preserve">
Details about the predominant use of the vehicle.
    </t>
  </si>
  <si>
    <t>Vehicle User</t>
  </si>
  <si>
    <t xml:space="preserve">
This concept represents the party role using a vehicle.
NOTE: The "vehicle user" party role has relevance to the party role "driver"; however, the party role "driver" involves a relationship with an agreement, regardless of vehicles. The party role "vehicle user" is always associated with a corresponding vehicle and outside the context of an agreement.
For example, a person who operates a motorized vehicle (e.g. car, truck, boat, aircraft) qualifies as a "vehicle user".
    </t>
  </si>
  <si>
    <t>Vehicle User  Annual Distance</t>
  </si>
  <si>
    <t xml:space="preserve">
The estimated annual distance the vehicle travels for the associated use.
e.g. 3000 miles annual distance for pleasure use, 8000 miles annual distance for commuting use, etc.
    </t>
  </si>
  <si>
    <t>Vehicle User  Commute Distance</t>
  </si>
  <si>
    <t xml:space="preserve">
The average distance driven one-way from the garage location to work, school or commuting station.
    </t>
  </si>
  <si>
    <t>Vehicle User  Use Code</t>
  </si>
  <si>
    <t xml:space="preserve">
A code indicating the use of a vehicle.
    </t>
  </si>
  <si>
    <t>VHF</t>
  </si>
  <si>
    <t xml:space="preserve">
Very High Frequency (VHF)
    </t>
  </si>
  <si>
    <t>VICC</t>
  </si>
  <si>
    <t xml:space="preserve">
Vehicle Information Center of Canada (VICC)
    </t>
  </si>
  <si>
    <t>Victim</t>
  </si>
  <si>
    <t xml:space="preserve">
A party affected by any kind of loss, condition or event that results in the submission of a claim.
    </t>
  </si>
  <si>
    <t>VIN</t>
  </si>
  <si>
    <t xml:space="preserve">
Vehicle Identification Number (VIN)
    </t>
  </si>
  <si>
    <t>VIP</t>
  </si>
  <si>
    <t xml:space="preserve">
Very Important Person (VIP)
    </t>
  </si>
  <si>
    <t>Virtual Party</t>
  </si>
  <si>
    <t xml:space="preserve">
This concept represents a party other than a person or organization, including various types of organizations.
e.g. unknown party, system, etc.
    </t>
  </si>
  <si>
    <t>Virtual Party Name</t>
  </si>
  <si>
    <t xml:space="preserve">
This concept represents a virtual party's name.
    </t>
  </si>
  <si>
    <t>Virtual Party Name  Usage Code</t>
  </si>
  <si>
    <t xml:space="preserve">
A code indicating the use of the virtual party's name.
    </t>
  </si>
  <si>
    <t>Visual Profile</t>
  </si>
  <si>
    <t xml:space="preserve">
Communication profile that specifies the preferences for tailoring the appearance of a communication for a visual communication medium, like when using a textual expression.
e.g: A blind person prefers to receive letters in braille.
    </t>
  </si>
  <si>
    <t>Visual Profile  Animation Avoidance Indicator</t>
  </si>
  <si>
    <t xml:space="preserve">
Indicates the disabling of animation. This allows the user who finds animations, present as decoration, objectionable to disable the animation. 
e.g: no 
e.g: yes
    </t>
  </si>
  <si>
    <t>Visual Profile  Background Colours Code</t>
  </si>
  <si>
    <t xml:space="preserve">
Visual communication preference that allows selection of background colors from a limited set. 
e.g: black 
e.g: blue 
e.g: green 
e.g: white 
e.g: yellow
    </t>
  </si>
  <si>
    <t>Visual Profile  Braille Indicator</t>
  </si>
  <si>
    <t xml:space="preserve">
Visual communication preference that allows selection of printed material in braille when possible. 
e.g: no 
e.g: yes
    </t>
  </si>
  <si>
    <t>Visual Profile  Colour Avoidances Code</t>
  </si>
  <si>
    <t xml:space="preserve">
Visual communication preference that allows selection of specific colours to be avoided. 
e.g: green 
e.g: red
    </t>
  </si>
  <si>
    <t>Visual Profile  Colour Combination Avoidances Code</t>
  </si>
  <si>
    <t xml:space="preserve">
Visual communication preference that allows selection of specific combinations of colours to be avoided. 
e.g: blue and yellow 
e.g: red and green
    </t>
  </si>
  <si>
    <t>Visual Profile  Font Selection Code</t>
  </si>
  <si>
    <t xml:space="preserve">
Visual communication preference that allows selection of alternative fonts. Usually 'sans serif' for a simpler presentation. 
e.g: default 
e.g: sans serif 
e.g: simple
    </t>
  </si>
  <si>
    <t>Visual Profile  High Contrast Code</t>
  </si>
  <si>
    <t xml:space="preserve">
Visual communication preference that allows selection of high contrast themes from a limited set. 
e.g: black on white 
e.g: maximum contrast monochrome 
e.g: white on black 
e.g: yellow on blue
    </t>
  </si>
  <si>
    <t>Visual Profile  Image Replacement Indicator</t>
  </si>
  <si>
    <t xml:space="preserve">
Specifies that all information is to be provided in text form in addition to images if these images are used to convey information. 
e.g: no 
e.g: yes
    </t>
  </si>
  <si>
    <t>Visual Profile  Text Colours Code</t>
  </si>
  <si>
    <t xml:space="preserve">
Visual communication preference that allows selection of text colors from a limited set. 
e.g: black 
e.g: blue 
e.g: green 
e.g: white
    </t>
  </si>
  <si>
    <t>Visual Profile  Text Size Code</t>
  </si>
  <si>
    <t xml:space="preserve">
Visual communication preference that allows selection of alternative text sizes.
e.g: default
e.g: large
e.g: larger
e.g: largest
    </t>
  </si>
  <si>
    <t>VLDL</t>
  </si>
  <si>
    <t xml:space="preserve">
Very Low Density Lipoprotein (VLDL)
    </t>
  </si>
  <si>
    <t>Vocational Rehabilitation Evaluation Amount</t>
  </si>
  <si>
    <t xml:space="preserve">
The monetary value that constitutes the amount of money incurred to cover vocational rehabilitation evaluation.
    </t>
  </si>
  <si>
    <t>Vocational Rehabilitation Indemnity Amount</t>
  </si>
  <si>
    <t xml:space="preserve">
The monetary value that constitutes the amount of money incurred for vocational rehabilitation indemnity.
    </t>
  </si>
  <si>
    <t>Vocational Rehabilitation Training Amount</t>
  </si>
  <si>
    <t xml:space="preserve">
The monetary value that constitutes the amount of money incurred to cover vocational rehabilitation training.
    </t>
  </si>
  <si>
    <t>VoIP</t>
  </si>
  <si>
    <t xml:space="preserve">
Voice over Internet Protocol (VoIP)
    </t>
  </si>
  <si>
    <t>Volcanic Eruption</t>
  </si>
  <si>
    <t xml:space="preserve">
A volcano is an opening, or rupture, in the surface or crust of the Earth or a planetary mass object, which allows hot lava, volcanic ash and gases to escape from the magma chamber below the surface.
    </t>
  </si>
  <si>
    <t>Voluntary Market</t>
  </si>
  <si>
    <t xml:space="preserve">
A term where an insurance company freely agrees to insure a risk, using its own rules, rates and forms.
    </t>
  </si>
  <si>
    <t>VRPU</t>
  </si>
  <si>
    <t xml:space="preserve">
Variable Reduced Paid Up (VRPU)
    </t>
  </si>
  <si>
    <t>VUL</t>
  </si>
  <si>
    <t xml:space="preserve">
Variable Universal Life (VUL)
    </t>
  </si>
  <si>
    <t>W3C</t>
  </si>
  <si>
    <t xml:space="preserve">
World Web Consortium (W3C)
    </t>
  </si>
  <si>
    <t>Wage Determination</t>
  </si>
  <si>
    <t xml:space="preserve">
Basis methods used to determine payroll renumeration. Wage determination is typically used for workers compensation contract. An example of a wage determination would be actual wages.
    </t>
  </si>
  <si>
    <t>Waiting Period</t>
  </si>
  <si>
    <t xml:space="preserve">
This concept represents a period of time during which incidents that occur are not claimable (e.g. a period of time for which coverage does not apply and therefore a loss or claim is not covered).
    </t>
  </si>
  <si>
    <t>Waiting Period  Duration</t>
  </si>
  <si>
    <t xml:space="preserve">
This represents a duration of time for a waiting period (e.g. 30 days).
    </t>
  </si>
  <si>
    <t>Waiting Period Specification  Maximum Duration</t>
  </si>
  <si>
    <t xml:space="preserve">
This represents a maximum duration of time for a waiting period (e.g. 30 days).
    </t>
  </si>
  <si>
    <t>Waiting Period Specification  Minimum Duration</t>
  </si>
  <si>
    <t xml:space="preserve">
This represents a minimum duration of time for a waiting period (e.g. 30 days).
    </t>
  </si>
  <si>
    <t>Waiver</t>
  </si>
  <si>
    <t>Waiver Of Premium</t>
  </si>
  <si>
    <t xml:space="preserve">
A provision in an insurance contract that may relieve the obligation to pay premiums under specified conditions.
    </t>
  </si>
  <si>
    <t>Walls</t>
  </si>
  <si>
    <t xml:space="preserve">
This concept gives details about the walls of a structure.
    </t>
  </si>
  <si>
    <t>Walls  Material Code</t>
  </si>
  <si>
    <t xml:space="preserve">
This indicates the material of which the walls are constructed.
    </t>
  </si>
  <si>
    <t>Walls  Solid Material Percentage</t>
  </si>
  <si>
    <t xml:space="preserve">
Defines the percentage of the solid material of the walls of a building.
    </t>
  </si>
  <si>
    <t>Wankel Engine</t>
  </si>
  <si>
    <t xml:space="preserve">
The Wankel engine (also known as a rotary engine) is a type of internal combustion engine using an eccentric rotary design to convert pressure into rotating motion.
    </t>
  </si>
  <si>
    <t>Wankel Engine Specification</t>
  </si>
  <si>
    <t xml:space="preserve">
This represents the specification for a Wankel engine (also known as a rotary engine).
    </t>
  </si>
  <si>
    <t>WAP</t>
  </si>
  <si>
    <t xml:space="preserve">
Wireless Access Protocol (WAP)
    </t>
  </si>
  <si>
    <t>Warehouse</t>
  </si>
  <si>
    <t xml:space="preserve">
This concept represents a warehouse.
    </t>
  </si>
  <si>
    <t>Watercraft</t>
  </si>
  <si>
    <t xml:space="preserve">
The term watercraft covers a range of different vehicles including ships, boats, hovercraft and submarines, and differs from a flotation device such as a log raft.
    </t>
  </si>
  <si>
    <t>Watercraft  Annual Nautical Distance Measurement</t>
  </si>
  <si>
    <t xml:space="preserve">
Usual distance traveled by the ship in one year.
    </t>
  </si>
  <si>
    <t>Watercraft  Daily Nautical Distance Measurement</t>
  </si>
  <si>
    <t xml:space="preserve">
The usual distance traveled by the ship in one day.
    </t>
  </si>
  <si>
    <t>Watercraft  Nautical Distance Covered Measurement</t>
  </si>
  <si>
    <t xml:space="preserve">
Total distance to date traveled by a ship as indicated by the odometer.
    </t>
  </si>
  <si>
    <t>Watercraft Score</t>
  </si>
  <si>
    <t xml:space="preserve">
The assessment result resulting from the assessment of a particular characteristic, or a set of characteristics, of a ship.
    </t>
  </si>
  <si>
    <t>Watercraft Specification</t>
  </si>
  <si>
    <t xml:space="preserve">
This represents the specification of the characteristics of a watercraft.
    </t>
  </si>
  <si>
    <t>Watercraft Specification  Bale Capacity Measurement</t>
  </si>
  <si>
    <t xml:space="preserve">
The cubic capacity of the watercraft's holds to carry packaged dry cargo such as bales or pallets.
    </t>
  </si>
  <si>
    <t>Watercraft Specification  Hull Material Code</t>
  </si>
  <si>
    <t xml:space="preserve">
It describes the type of hull material of the watercraft.
    </t>
  </si>
  <si>
    <t>Watercraft Specification  Loaded Displacement Measurement</t>
  </si>
  <si>
    <t xml:space="preserve">
A ship's displacement or displacement tonnage, a term usually applied only to naval vessels, is the weight of the water that a ship displaces when it is floating. The term is defined ordinarily such that the ship's fuel tanks are full and all stores are aboard. Displacement is the actual weight of the ship, since a floating body displaces its own weight in water (Archimedes' principle). Another way of thinking about displacement is the weight of the water that would spill out of a completely filled container were the ship placed into it. A number of synonymous terms exist for this maximum weight, such as loaded displacement, full load displacement and designated displacement.
    </t>
  </si>
  <si>
    <t>Watercraft Specification  Loaded Draft Measurement</t>
  </si>
  <si>
    <t xml:space="preserve">
The draft (American) or draught (British) of a ship's hull is the vertical distance between the waterline and the bottom of the hull (keel), with the thickness of the hull included; in the case of not being included the draft outline would be obtained. Draft determines the minimum depth of water a ship or boat can safely navigate. This measurement assumes a loaded watercraft.
    </t>
  </si>
  <si>
    <t>Watercraft Specification  Net Weight Measurement</t>
  </si>
  <si>
    <t xml:space="preserve">
The watercraft's gross weight minus deductions for space occupied by crew accommodations, machinery, navigation equipment and bunkers. It represents the space available for cargo (and passengers). Typically, canal tolls are based on net (registered) weight.
    </t>
  </si>
  <si>
    <t>Watercraft Specification  Unloaded Draft Measurement</t>
  </si>
  <si>
    <t xml:space="preserve">
The draft (American) or draught (British) of a ship's hull is the vertical distance between the waterline and the bottom of the hull (keel), with the thickness of the hull included; in the case of not being included the draft outline would be obtained. Draft determines the minimum depth of water a ship or boat can safely navigate. This measurement assumes an unloaded watercraft.
    </t>
  </si>
  <si>
    <t>WBC</t>
  </si>
  <si>
    <t xml:space="preserve">
White Blood Cells (WBC)
    </t>
  </si>
  <si>
    <t>WBT</t>
  </si>
  <si>
    <t xml:space="preserve">
Welfare Benefit Trust (WBT)
    </t>
  </si>
  <si>
    <t>WCIO</t>
  </si>
  <si>
    <t xml:space="preserve">
Workers Compensation Insurance Organizations (WCIO)
    </t>
  </si>
  <si>
    <t>WCIRB</t>
  </si>
  <si>
    <t xml:space="preserve">
Workers Compensation Insurance Reporting Bureau (WCIRB)
    </t>
  </si>
  <si>
    <t>WCRI</t>
  </si>
  <si>
    <t xml:space="preserve">
Workers Compensation Research Institute (WCRI)
    </t>
  </si>
  <si>
    <t>Web Page Contact</t>
  </si>
  <si>
    <t xml:space="preserve">
This concept represents an internet web page as a means of contact.
    </t>
  </si>
  <si>
    <t>Web Page Contact  Uniform Resource Locator</t>
  </si>
  <si>
    <t xml:space="preserve">
This represents the uniform resource locator "address" for a web page contact.
    </t>
  </si>
  <si>
    <t>WETT</t>
  </si>
  <si>
    <t xml:space="preserve">
Wood Energy Transfer Technology (WETT)
    </t>
  </si>
  <si>
    <t>WFII</t>
  </si>
  <si>
    <t xml:space="preserve">
World Federation of Insurance Intermediaries (WFII)
    </t>
  </si>
  <si>
    <t>WHO</t>
  </si>
  <si>
    <t xml:space="preserve">
World Health Organization (WHO)
    </t>
  </si>
  <si>
    <t>Wind</t>
  </si>
  <si>
    <t xml:space="preserve">
Wind is the flow of gases on a large scale. On the surface of the Earth, wind consists of the bulk movement of air. In outer space, solar wind is the movement of gases or charged particles from the sun through space, while planetary wind is the outgassing of light chemical elements from a planet's atmosphere into space.
    </t>
  </si>
  <si>
    <t>Wind Speed Measurement</t>
  </si>
  <si>
    <t>Wind Turbine</t>
  </si>
  <si>
    <t xml:space="preserve">
A wind turbine is a device that converts kinetic energy from the wind into electrical power.
    </t>
  </si>
  <si>
    <t>Wind Turbine  Type Code</t>
  </si>
  <si>
    <t xml:space="preserve">
This represents the type of wind turbine.
    </t>
  </si>
  <si>
    <t>Windmill</t>
  </si>
  <si>
    <t xml:space="preserve">
A windmill is a machine that converts the energy of wind into rotational energy by means of vanes called sails or blades.
    </t>
  </si>
  <si>
    <t>Window Bars</t>
  </si>
  <si>
    <t xml:space="preserve">
Window bars (e.g. security bars) are basically stout metal grids that are screwed or bolted through window frames to the structural framing.
    </t>
  </si>
  <si>
    <t>Window Bars  Release Latch Indicator</t>
  </si>
  <si>
    <t xml:space="preserve">
This indicates the window bars provide a releasable latch for emergency exit.
    </t>
  </si>
  <si>
    <t>Window Bars  Type Code</t>
  </si>
  <si>
    <t xml:space="preserve">
This code indicates the type of window bars (e.g. security bars).
    </t>
  </si>
  <si>
    <t>Windows</t>
  </si>
  <si>
    <t xml:space="preserve">
This concept gives details about a window of a structure.
    </t>
  </si>
  <si>
    <t>Windows  Glass Type Code</t>
  </si>
  <si>
    <t xml:space="preserve">
It indicates the type of glass used for the windows of a structure.
    </t>
  </si>
  <si>
    <t>Windows  Hurricane Resistive Glass Indicator</t>
  </si>
  <si>
    <t xml:space="preserve">
This indicates hurricane resistive glass is present.
    </t>
  </si>
  <si>
    <t>Winter Storm</t>
  </si>
  <si>
    <t xml:space="preserve">
A winter storm is an event in which the varieties of precipitation are formed that only occur at low temperatures, such as snow or sleet, or a rainstorm where ground temperatures are low enough to allow ice to form (i.e. freezing rain).
    </t>
  </si>
  <si>
    <t>Winter Storm  Snowfall Measurement</t>
  </si>
  <si>
    <t xml:space="preserve">
The amount of snow at a particular place or in a given time.
    </t>
  </si>
  <si>
    <t>Withdrawal Benefit</t>
  </si>
  <si>
    <t xml:space="preserve">
This concept represents a reduction in the cash value of an insurance agreement or annuity agreement due to the contract owner withdrawing a cash payment up to the amount of the agreement or agreement cash value.
    </t>
  </si>
  <si>
    <t>Withdrawal Benefit  Increase Index Percentage</t>
  </si>
  <si>
    <t xml:space="preserve">
This is used to increase the amount of the installment automatically every year, without an amendment.
Percentage of the programmed installment.
    </t>
  </si>
  <si>
    <t>Withdrawal Benefit  Maximum Chargeable Amount</t>
  </si>
  <si>
    <t xml:space="preserve">
The maximum chargeable amount for the withdrawal benefit.
    </t>
  </si>
  <si>
    <t>Withdrawal Benefit  Maximum Non Chargeable Amount</t>
  </si>
  <si>
    <t xml:space="preserve">
The maximum non-chargeable amount for the withdrawal benefit.
    </t>
  </si>
  <si>
    <t>Withdrawal Benefit  Option Code</t>
  </si>
  <si>
    <t xml:space="preserve">
This represents the option (also known sometimes as a "rule") that should be followed when a withdrawal benefit, including a partial withdrawal, occurs.
    </t>
  </si>
  <si>
    <t>Withdrawal Benefit  Payment Duration</t>
  </si>
  <si>
    <t>Withdrawal Benefit Specification  Currency Code</t>
  </si>
  <si>
    <t xml:space="preserve">
The code identifying the currency (ISO-4217).
    </t>
  </si>
  <si>
    <t>Withdrawal Benefit Specification  Fiscal Surrender Option</t>
  </si>
  <si>
    <t xml:space="preserve">
Country-specific field.
    </t>
  </si>
  <si>
    <t>Withdrawal Benefit Specification  Payment Duration</t>
  </si>
  <si>
    <t>Withdrawal Benefit Specification  Payment Frequency Code</t>
  </si>
  <si>
    <t xml:space="preserve">
Frequency of payments
    </t>
  </si>
  <si>
    <t>Withdrawal Benefit Specification  Payment Means Code</t>
  </si>
  <si>
    <t xml:space="preserve">
Mean of payment (checks, creditCard, etc.)
    </t>
  </si>
  <si>
    <t>Witness</t>
  </si>
  <si>
    <t xml:space="preserve">
The party that witnessed an event.
e.g. The person who witnessed an accident that resulted in a claim.
e.g. The person who witnessed the signing of a document.
    </t>
  </si>
  <si>
    <t>WMD</t>
  </si>
  <si>
    <t xml:space="preserve">
Waiver of Monthly Deductions (WMD)
    </t>
  </si>
  <si>
    <t>Workers Compensation Assigned Risk</t>
  </si>
  <si>
    <t xml:space="preserve">
This contains the information on the Assigned Risk for Commercial Workers Comp. The information like Multi State risk, and previous coverage are found here.
    </t>
  </si>
  <si>
    <t>Workers Compensation Claim Type</t>
  </si>
  <si>
    <t xml:space="preserve">
A categorization assigned which specifies the current benefit classification of the claim. Examples include: Medical indemnity, became loss time, etc.
    </t>
  </si>
  <si>
    <t>Written Premium</t>
  </si>
  <si>
    <t xml:space="preserve">
The total premium at contract inception.
    </t>
  </si>
  <si>
    <t>WRU</t>
  </si>
  <si>
    <t xml:space="preserve">
Who aRe yoU (WRU)
    </t>
  </si>
  <si>
    <t>XBRL</t>
  </si>
  <si>
    <t xml:space="preserve">
eXtensible Business Reporting Language (XBRL)
    </t>
  </si>
  <si>
    <t>XMI</t>
  </si>
  <si>
    <t xml:space="preserve">
XML Metadata Interchange (XMI)
    </t>
  </si>
  <si>
    <t>XML</t>
  </si>
  <si>
    <t xml:space="preserve">
Extensible Markup Language (XML)
    </t>
  </si>
  <si>
    <t>XOL</t>
  </si>
  <si>
    <t xml:space="preserve">
Excess Of Loss (XOL)
    </t>
  </si>
  <si>
    <t>XPL</t>
  </si>
  <si>
    <t xml:space="preserve">
Excess of Policy Limits (XPL)
    </t>
  </si>
  <si>
    <t>Young Driver</t>
  </si>
  <si>
    <t xml:space="preserve">
Provides additional information specific to a driver that the insurance company considers to be in the category of young drivers and for which some additional information must be kept.
    </t>
  </si>
  <si>
    <t>Zone Rating</t>
  </si>
  <si>
    <t xml:space="preserve">
A commercial auto rating system that divides the country into 50 zones with different rating tables applicable for each zone.
    </t>
  </si>
  <si>
    <t>ACORD Definition</t>
  </si>
  <si>
    <t>Comment About Data Quality Issue</t>
  </si>
  <si>
    <t>00004|CA001-T</t>
  </si>
  <si>
    <t>Data quality issue</t>
  </si>
  <si>
    <t>Data Object Reference</t>
  </si>
  <si>
    <t>Data Object Name</t>
  </si>
  <si>
    <t>Data Element Reference</t>
  </si>
  <si>
    <t>Data Element Name</t>
  </si>
  <si>
    <t>Dataset Reference</t>
  </si>
  <si>
    <t>Dataset Name</t>
  </si>
  <si>
    <t>Application Name</t>
  </si>
  <si>
    <t>Database Reference</t>
  </si>
  <si>
    <t>Database Name</t>
  </si>
  <si>
    <t>Data Processing Activity Reference</t>
  </si>
  <si>
    <t>Data Processing Activity Name</t>
  </si>
  <si>
    <t>Business Data Quality Rule Reference</t>
  </si>
  <si>
    <t>Business Data Quality Rule Name</t>
  </si>
  <si>
    <t>Business data quality rule -&gt; Data element</t>
  </si>
  <si>
    <t>PostalMunicipality</t>
  </si>
  <si>
    <t xml:space="preserve"> PostalPostCode</t>
  </si>
  <si>
    <t>PostalCountry</t>
  </si>
  <si>
    <t>00017|Postal Address  Postal Municipality</t>
  </si>
  <si>
    <t>00018|Postal Address  Postal Post Code</t>
  </si>
  <si>
    <t>00019|Postal Address  Postal Country</t>
  </si>
  <si>
    <t>00005|Contract Renewal</t>
  </si>
  <si>
    <t>Data steward</t>
  </si>
  <si>
    <t>Data owner</t>
  </si>
  <si>
    <t>Data manager</t>
  </si>
  <si>
    <t>Data protection officer</t>
  </si>
  <si>
    <t>Data custodian</t>
  </si>
  <si>
    <t>Application owner</t>
  </si>
  <si>
    <t>Data Steward</t>
  </si>
  <si>
    <t>Yes</t>
  </si>
  <si>
    <t>sirus@axa.com</t>
  </si>
  <si>
    <t>pegase@axa.com</t>
  </si>
  <si>
    <t>lou.costello@axa.com</t>
  </si>
  <si>
    <t>bud.abbott@axa.com</t>
  </si>
  <si>
    <t>john.doe@axa.com</t>
  </si>
  <si>
    <t>Governance team</t>
  </si>
  <si>
    <t>bud.abbott@axa.com|lou.costello@axa.com</t>
  </si>
  <si>
    <t>Environment Name</t>
  </si>
  <si>
    <t>Environment Type</t>
  </si>
  <si>
    <t>PROD</t>
  </si>
  <si>
    <t>jupiter@axa.com</t>
  </si>
  <si>
    <t>00005|Coverage</t>
  </si>
  <si>
    <t>john.doe@axa.com|bud.abbott@axa.com</t>
  </si>
  <si>
    <t>Team ID</t>
  </si>
  <si>
    <t>Team Name</t>
  </si>
  <si>
    <t>BP002</t>
  </si>
  <si>
    <t>CA004</t>
  </si>
  <si>
    <t>Some customers expected to be invoiced monthly still received bills after the expiration of the policy</t>
  </si>
  <si>
    <t>Contract expiration rule</t>
  </si>
  <si>
    <t>AU-Australia|LT-Lithuania|LU-Luxembourg|PL-Poland</t>
  </si>
  <si>
    <t>Customer billed after policy expiration date</t>
  </si>
  <si>
    <t>Contract expiration date should be always defined within the policy</t>
  </si>
  <si>
    <t>00007|CA004</t>
  </si>
  <si>
    <t>Transversal</t>
  </si>
  <si>
    <t>00006|Contract Lifecycle Management</t>
  </si>
  <si>
    <t>00008|Transversal</t>
  </si>
  <si>
    <t>00006|Contract Lifecycle Management|Transversal</t>
  </si>
  <si>
    <t>v1.0</t>
  </si>
  <si>
    <t>Data classification</t>
  </si>
  <si>
    <t>Update Data domain</t>
  </si>
  <si>
    <r>
      <rPr>
        <b/>
        <sz val="9"/>
        <color theme="3"/>
        <rFont val="Calibri"/>
        <family val="2"/>
        <scheme val="minor"/>
      </rPr>
      <t>This document is an extension to the AXA Metadata Management paper. The paper covers:</t>
    </r>
    <r>
      <rPr>
        <sz val="9"/>
        <color theme="1"/>
        <rFont val="Calibri"/>
        <family val="2"/>
        <scheme val="minor"/>
      </rPr>
      <t xml:space="preserve">
- </t>
    </r>
    <r>
      <rPr>
        <b/>
        <sz val="9"/>
        <color theme="1"/>
        <rFont val="Calibri"/>
        <family val="2"/>
        <scheme val="minor"/>
      </rPr>
      <t>Why</t>
    </r>
    <r>
      <rPr>
        <sz val="9"/>
        <color theme="1"/>
        <rFont val="Calibri"/>
        <family val="2"/>
        <scheme val="minor"/>
      </rPr>
      <t xml:space="preserve"> metadata management now
- </t>
    </r>
    <r>
      <rPr>
        <b/>
        <sz val="9"/>
        <color theme="1"/>
        <rFont val="Calibri"/>
        <family val="2"/>
        <scheme val="minor"/>
      </rPr>
      <t>What</t>
    </r>
    <r>
      <rPr>
        <sz val="9"/>
        <color theme="1"/>
        <rFont val="Calibri"/>
        <family val="2"/>
        <scheme val="minor"/>
      </rPr>
      <t xml:space="preserve"> are the priorities and key assets to be documented at AXA
- </t>
    </r>
    <r>
      <rPr>
        <b/>
        <sz val="9"/>
        <color theme="1"/>
        <rFont val="Calibri"/>
        <family val="2"/>
        <scheme val="minor"/>
      </rPr>
      <t>How</t>
    </r>
    <r>
      <rPr>
        <sz val="9"/>
        <color theme="1"/>
        <rFont val="Calibri"/>
        <family val="2"/>
        <scheme val="minor"/>
      </rPr>
      <t xml:space="preserve"> it can be achieved by summarizing key business and IT functions to be implemented
- </t>
    </r>
    <r>
      <rPr>
        <b/>
        <sz val="9"/>
        <color theme="1"/>
        <rFont val="Calibri"/>
        <family val="2"/>
        <scheme val="minor"/>
      </rPr>
      <t>With what</t>
    </r>
    <r>
      <rPr>
        <sz val="9"/>
        <color theme="1"/>
        <rFont val="Calibri"/>
        <family val="2"/>
        <scheme val="minor"/>
      </rPr>
      <t xml:space="preserve">, by providing a tool selection framework to evaluate the solutions available on the market
This document provides a template for the entities that do not currently manage their metadata or are at the initial phase of setting up the business and IT functions to do so.
</t>
    </r>
    <r>
      <rPr>
        <b/>
        <sz val="9"/>
        <color theme="3"/>
        <rFont val="Calibri"/>
        <family val="2"/>
        <scheme val="minor"/>
      </rPr>
      <t>The primary intent is to help the entities at the begining of their journey to</t>
    </r>
    <r>
      <rPr>
        <sz val="9"/>
        <color theme="1"/>
        <rFont val="Calibri"/>
        <family val="2"/>
        <scheme val="minor"/>
      </rPr>
      <t xml:space="preserve">:
- Get familiar with the key metadata assets as defined in the AXA Data Management Information model
- Understand how the metadata assets can be associated to bring more value
- Get a sense of the manual effort and challenges to collect, document and maintain metadata documentation overtime. It will also benefit moving forward the entities in their tool selection process with a clear vision of what can be automated with the support of the tool and will remain manual endeavors.
</t>
    </r>
  </si>
  <si>
    <t>Accuracy</t>
  </si>
  <si>
    <t>Country ISO 3166-1</t>
  </si>
  <si>
    <t>Technical data quality rule ID</t>
  </si>
  <si>
    <t>00007|CA004-T</t>
  </si>
  <si>
    <t>Nb Data Object Members Evaluated</t>
  </si>
  <si>
    <t>Nb Defects</t>
  </si>
  <si>
    <t>Expected Defects Rate</t>
  </si>
  <si>
    <t>Observed Defects Rate</t>
  </si>
  <si>
    <t>Data Quality Rule Execution Timestamp</t>
  </si>
  <si>
    <t>12-10-2019 15:10:05</t>
  </si>
  <si>
    <t>12-11-2019 15:10:05</t>
  </si>
  <si>
    <t>12-12-2019 15:10:05</t>
  </si>
  <si>
    <t>v1.1</t>
  </si>
  <si>
    <t>Update data quality metadata</t>
  </si>
  <si>
    <t>Business criticality</t>
  </si>
  <si>
    <t>Not a critical data</t>
  </si>
  <si>
    <t>Useless or non relevant</t>
  </si>
  <si>
    <t>List of values</t>
  </si>
  <si>
    <t>BI_PLATFORM</t>
  </si>
  <si>
    <t>BI Platform</t>
  </si>
  <si>
    <t>The central datalake where all relecvant customers data</t>
  </si>
  <si>
    <t>BI PLATFORM PROD</t>
  </si>
  <si>
    <t>PREPROD</t>
  </si>
  <si>
    <t>Datalake</t>
  </si>
  <si>
    <t>CLAIM_FILES</t>
  </si>
  <si>
    <t>CLAIM FILES</t>
  </si>
  <si>
    <t>00006|BI Platform</t>
  </si>
  <si>
    <t>00009|CLAIM FILES</t>
  </si>
  <si>
    <t>Claimnum</t>
  </si>
  <si>
    <t>Claim_num</t>
  </si>
  <si>
    <t>Claim number</t>
  </si>
  <si>
    <t>varchar</t>
  </si>
  <si>
    <t>00014|Number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</si>
</sst>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409]d\-mmm\-yyyy;@"/>
    <numFmt numFmtId="165" formatCode="yyyy\-mm\-dd"/>
  </numFmts>
  <fonts count="18">
    <font>
      <sz val="11"/>
      <color theme="1"/>
      <name val="Calibri"/>
      <family val="2"/>
      <scheme val="minor"/>
    </font>
    <font>
      <sz val="10"/>
      <color theme="1"/>
      <name val="Calibri"/>
      <family val="2"/>
      <scheme val="minor"/>
    </font>
    <font>
      <b/>
      <sz val="10"/>
      <color theme="1"/>
      <name val="Calibri"/>
      <family val="2"/>
      <scheme val="minor"/>
    </font>
    <font>
      <u/>
      <sz val="11"/>
      <color theme="10"/>
      <name val="Calibri"/>
      <family val="2"/>
      <scheme val="minor"/>
    </font>
    <font>
      <sz val="10"/>
      <color theme="0"/>
      <name val="Calibri"/>
      <family val="2"/>
      <scheme val="minor"/>
    </font>
    <font>
      <sz val="8"/>
      <color theme="1"/>
      <name val="Calibri"/>
      <family val="2"/>
      <scheme val="minor"/>
    </font>
    <font>
      <sz val="8"/>
      <color theme="0"/>
      <name val="Dialog"/>
    </font>
    <font>
      <sz val="8"/>
      <color rgb="FF000000"/>
      <name val="Dialog"/>
    </font>
    <font>
      <u/>
      <sz val="8"/>
      <color indexed="12"/>
      <name val="Dialog"/>
    </font>
    <font>
      <sz val="8"/>
      <color theme="1"/>
      <name val="Dialog"/>
    </font>
    <font>
      <sz val="8"/>
      <name val="Dialog"/>
    </font>
    <font>
      <u/>
      <sz val="8"/>
      <color theme="10"/>
      <name val="Dialog"/>
    </font>
    <font>
      <b/>
      <sz val="11"/>
      <color theme="0"/>
      <name val="Calibri"/>
      <family val="2"/>
      <scheme val="minor"/>
    </font>
    <font>
      <b/>
      <sz val="11"/>
      <color theme="1"/>
      <name val="Calibri"/>
      <family val="2"/>
      <scheme val="minor"/>
    </font>
    <font>
      <sz val="9"/>
      <color theme="1"/>
      <name val="Calibri"/>
      <family val="2"/>
      <scheme val="minor"/>
    </font>
    <font>
      <b/>
      <sz val="9"/>
      <color theme="3"/>
      <name val="Calibri"/>
      <family val="2"/>
      <scheme val="minor"/>
    </font>
    <font>
      <b/>
      <sz val="9"/>
      <color theme="1"/>
      <name val="Calibri"/>
      <family val="2"/>
      <scheme val="minor"/>
    </font>
    <font>
      <u/>
      <sz val="8"/>
      <color theme="10"/>
      <name val="Calibri"/>
      <family val="2"/>
      <scheme val="minor"/>
    </font>
  </fonts>
  <fills count="12">
    <fill>
      <patternFill patternType="none"/>
    </fill>
    <fill>
      <patternFill patternType="gray125"/>
    </fill>
    <fill>
      <patternFill patternType="solid">
        <fgColor theme="3" tint="0.79998168889431442"/>
        <bgColor indexed="64"/>
      </patternFill>
    </fill>
    <fill>
      <patternFill patternType="solid">
        <fgColor theme="0" tint="-4.9989318521683403E-2"/>
        <bgColor indexed="64"/>
      </patternFill>
    </fill>
    <fill>
      <patternFill patternType="solid">
        <fgColor theme="0"/>
        <bgColor indexed="64"/>
      </patternFill>
    </fill>
    <fill>
      <patternFill patternType="solid">
        <fgColor theme="4"/>
        <bgColor indexed="64"/>
      </patternFill>
    </fill>
    <fill>
      <patternFill patternType="solid">
        <fgColor theme="7"/>
        <bgColor indexed="64"/>
      </patternFill>
    </fill>
    <fill>
      <patternFill patternType="solid">
        <fgColor theme="9"/>
        <bgColor indexed="64"/>
      </patternFill>
    </fill>
    <fill>
      <patternFill patternType="solid">
        <fgColor theme="1" tint="0.499984740745262"/>
        <bgColor indexed="64"/>
      </patternFill>
    </fill>
    <fill>
      <patternFill patternType="solid">
        <fgColor theme="3"/>
        <bgColor indexed="64"/>
      </patternFill>
    </fill>
    <fill>
      <patternFill patternType="solid">
        <fgColor theme="3" tint="0.39997558519241921"/>
        <bgColor indexed="64"/>
      </patternFill>
    </fill>
    <fill>
      <patternFill patternType="solid">
        <fgColor theme="5" tint="-0.249977111117893"/>
        <bgColor indexed="64"/>
      </patternFill>
    </fill>
  </fills>
  <borders count="20">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s>
  <cellStyleXfs count="2">
    <xf numFmtId="0" fontId="0" fillId="0" borderId="0"/>
    <xf numFmtId="0" fontId="3" fillId="0" borderId="0" applyNumberFormat="0" applyFill="0" applyBorder="0" applyAlignment="0" applyProtection="0"/>
  </cellStyleXfs>
  <cellXfs count="127">
    <xf numFmtId="0" fontId="0" fillId="0" borderId="0" xfId="0"/>
    <xf numFmtId="0" fontId="0" fillId="3" borderId="0" xfId="0" applyFill="1"/>
    <xf numFmtId="0" fontId="0" fillId="3" borderId="0" xfId="0" applyFill="1" applyProtection="1"/>
    <xf numFmtId="0" fontId="5" fillId="0" borderId="0" xfId="0" applyFont="1"/>
    <xf numFmtId="0" fontId="3" fillId="4" borderId="14" xfId="1" applyFill="1" applyBorder="1" applyAlignment="1" applyProtection="1">
      <alignment horizontal="center" vertical="center"/>
      <protection locked="0"/>
    </xf>
    <xf numFmtId="0" fontId="0" fillId="0" borderId="0" xfId="0" applyProtection="1"/>
    <xf numFmtId="0" fontId="4" fillId="8" borderId="13" xfId="0" applyFont="1" applyFill="1" applyBorder="1" applyAlignment="1"/>
    <xf numFmtId="0" fontId="5" fillId="0" borderId="14" xfId="0" applyFont="1" applyBorder="1"/>
    <xf numFmtId="0" fontId="5" fillId="0" borderId="15" xfId="0" applyFont="1" applyBorder="1"/>
    <xf numFmtId="0" fontId="4" fillId="8" borderId="5" xfId="0" applyFont="1" applyFill="1" applyBorder="1" applyAlignment="1"/>
    <xf numFmtId="0" fontId="5" fillId="0" borderId="8" xfId="0" applyFont="1" applyBorder="1"/>
    <xf numFmtId="0" fontId="5" fillId="0" borderId="10" xfId="0" applyFont="1" applyBorder="1"/>
    <xf numFmtId="0" fontId="5" fillId="0" borderId="0" xfId="0" applyFont="1" applyBorder="1"/>
    <xf numFmtId="0" fontId="5" fillId="0" borderId="9" xfId="0" applyFont="1" applyBorder="1"/>
    <xf numFmtId="0" fontId="5" fillId="0" borderId="11" xfId="0" applyFont="1" applyBorder="1"/>
    <xf numFmtId="0" fontId="5" fillId="0" borderId="12" xfId="0" applyFont="1" applyBorder="1"/>
    <xf numFmtId="0" fontId="5" fillId="0" borderId="14" xfId="0" applyFont="1" applyFill="1" applyBorder="1"/>
    <xf numFmtId="0" fontId="5" fillId="0" borderId="15" xfId="0" applyFont="1" applyFill="1" applyBorder="1"/>
    <xf numFmtId="0" fontId="1" fillId="4" borderId="0" xfId="0" applyFont="1" applyFill="1" applyBorder="1" applyAlignment="1" applyProtection="1">
      <alignment horizontal="left" vertical="top"/>
    </xf>
    <xf numFmtId="0" fontId="6" fillId="0" borderId="0" xfId="0" applyFont="1" applyAlignment="1" applyProtection="1">
      <alignment horizontal="left" vertical="center"/>
    </xf>
    <xf numFmtId="0" fontId="6" fillId="0" borderId="0" xfId="0" applyNumberFormat="1" applyFont="1" applyAlignment="1" applyProtection="1">
      <alignment horizontal="left" vertical="center"/>
    </xf>
    <xf numFmtId="0" fontId="7" fillId="0" borderId="0" xfId="0" applyFont="1" applyProtection="1"/>
    <xf numFmtId="0" fontId="9" fillId="0" borderId="0" xfId="0" applyFont="1" applyProtection="1"/>
    <xf numFmtId="0" fontId="10" fillId="0" borderId="0" xfId="0" applyFont="1" applyAlignment="1" applyProtection="1">
      <alignment horizontal="left" vertical="center"/>
    </xf>
    <xf numFmtId="0" fontId="9" fillId="0" borderId="0" xfId="0" applyFont="1"/>
    <xf numFmtId="0" fontId="6" fillId="0" borderId="0" xfId="0" applyFont="1" applyAlignment="1" applyProtection="1">
      <alignment horizontal="left" vertical="center"/>
      <protection locked="0"/>
    </xf>
    <xf numFmtId="49" fontId="7" fillId="0" borderId="0" xfId="0" applyNumberFormat="1" applyFont="1" applyAlignment="1" applyProtection="1">
      <alignment horizontal="left" vertical="center"/>
      <protection locked="0"/>
    </xf>
    <xf numFmtId="49" fontId="7" fillId="0" borderId="0" xfId="0" applyNumberFormat="1" applyFont="1" applyAlignment="1" applyProtection="1">
      <alignment horizontal="left" vertical="center" wrapText="1"/>
      <protection locked="0"/>
    </xf>
    <xf numFmtId="0" fontId="3" fillId="4" borderId="9" xfId="1" applyFill="1" applyBorder="1" applyAlignment="1" applyProtection="1">
      <alignment horizontal="center" vertical="center"/>
      <protection locked="0"/>
    </xf>
    <xf numFmtId="0" fontId="3" fillId="4" borderId="14" xfId="1" applyFont="1" applyFill="1" applyBorder="1" applyAlignment="1" applyProtection="1">
      <alignment horizontal="center" vertical="center"/>
      <protection locked="0"/>
    </xf>
    <xf numFmtId="0" fontId="3" fillId="4" borderId="9" xfId="1" applyFont="1" applyFill="1" applyBorder="1" applyAlignment="1" applyProtection="1">
      <alignment horizontal="center" vertical="center"/>
      <protection locked="0"/>
    </xf>
    <xf numFmtId="0" fontId="3" fillId="4" borderId="8" xfId="1" applyFont="1" applyFill="1" applyBorder="1" applyAlignment="1" applyProtection="1">
      <alignment horizontal="center" vertical="center"/>
      <protection locked="0"/>
    </xf>
    <xf numFmtId="0" fontId="3" fillId="0" borderId="14" xfId="1" applyFont="1" applyFill="1" applyBorder="1" applyAlignment="1" applyProtection="1">
      <alignment horizontal="center" vertical="center"/>
      <protection locked="0"/>
    </xf>
    <xf numFmtId="0" fontId="0" fillId="4" borderId="9" xfId="0" applyFont="1" applyFill="1" applyBorder="1" applyAlignment="1" applyProtection="1">
      <alignment horizontal="center" vertical="center"/>
      <protection locked="0"/>
    </xf>
    <xf numFmtId="0" fontId="0" fillId="4" borderId="14" xfId="0" applyFont="1" applyFill="1" applyBorder="1" applyAlignment="1" applyProtection="1">
      <alignment horizontal="center" vertical="center"/>
      <protection locked="0"/>
    </xf>
    <xf numFmtId="0" fontId="0" fillId="4" borderId="8" xfId="0" applyFont="1" applyFill="1" applyBorder="1" applyAlignment="1" applyProtection="1">
      <alignment horizontal="center" vertical="center"/>
      <protection locked="0"/>
    </xf>
    <xf numFmtId="0" fontId="0" fillId="4" borderId="15" xfId="0" applyFont="1" applyFill="1" applyBorder="1" applyAlignment="1" applyProtection="1">
      <alignment horizontal="center" vertical="center"/>
      <protection locked="0"/>
    </xf>
    <xf numFmtId="0" fontId="0" fillId="4" borderId="12" xfId="0" applyFont="1" applyFill="1" applyBorder="1" applyAlignment="1" applyProtection="1">
      <alignment horizontal="center" vertical="center"/>
      <protection locked="0"/>
    </xf>
    <xf numFmtId="0" fontId="0" fillId="4" borderId="10" xfId="0" applyFont="1" applyFill="1" applyBorder="1" applyAlignment="1" applyProtection="1">
      <alignment horizontal="center" vertical="center"/>
      <protection locked="0"/>
    </xf>
    <xf numFmtId="0" fontId="9" fillId="0" borderId="0" xfId="0" applyFont="1" applyProtection="1">
      <protection locked="0"/>
    </xf>
    <xf numFmtId="0" fontId="6" fillId="0" borderId="0" xfId="0" applyFont="1" applyProtection="1">
      <protection locked="0"/>
    </xf>
    <xf numFmtId="49" fontId="7" fillId="0" borderId="0" xfId="0" applyNumberFormat="1" applyFont="1" applyProtection="1">
      <protection locked="0"/>
    </xf>
    <xf numFmtId="0" fontId="6" fillId="0" borderId="0" xfId="0" applyFont="1" applyProtection="1"/>
    <xf numFmtId="0" fontId="4" fillId="10" borderId="0" xfId="0" applyFont="1" applyFill="1" applyAlignment="1" applyProtection="1">
      <alignment horizontal="left" vertical="center"/>
    </xf>
    <xf numFmtId="0" fontId="6" fillId="10" borderId="0" xfId="0" applyNumberFormat="1" applyFont="1" applyFill="1" applyProtection="1"/>
    <xf numFmtId="0" fontId="6" fillId="10" borderId="0" xfId="0" applyNumberFormat="1" applyFont="1" applyFill="1" applyAlignment="1" applyProtection="1">
      <alignment horizontal="left" vertical="center"/>
    </xf>
    <xf numFmtId="0" fontId="6" fillId="10" borderId="0" xfId="0" applyFont="1" applyFill="1" applyProtection="1"/>
    <xf numFmtId="0" fontId="6" fillId="10" borderId="0" xfId="0" applyFont="1" applyFill="1"/>
    <xf numFmtId="0" fontId="6" fillId="10" borderId="0" xfId="0" applyNumberFormat="1" applyFont="1" applyFill="1"/>
    <xf numFmtId="0" fontId="7" fillId="0" borderId="0" xfId="0" applyFont="1" applyProtection="1">
      <protection locked="0"/>
    </xf>
    <xf numFmtId="0" fontId="8" fillId="0" borderId="0" xfId="0" applyFont="1" applyAlignment="1" applyProtection="1">
      <alignment horizontal="left" vertical="center"/>
      <protection locked="0"/>
    </xf>
    <xf numFmtId="0" fontId="10" fillId="0" borderId="0" xfId="0" applyFont="1" applyAlignment="1" applyProtection="1">
      <alignment horizontal="left" vertical="center"/>
      <protection locked="0"/>
    </xf>
    <xf numFmtId="0" fontId="9" fillId="0" borderId="0" xfId="0" applyFont="1" applyAlignment="1" applyProtection="1">
      <alignment horizontal="left" vertical="center"/>
      <protection locked="0"/>
    </xf>
    <xf numFmtId="0" fontId="9" fillId="0" borderId="0" xfId="0" applyFont="1" applyAlignment="1" applyProtection="1">
      <alignment horizontal="left" vertical="center" wrapText="1"/>
      <protection locked="0"/>
    </xf>
    <xf numFmtId="0" fontId="11" fillId="0" borderId="0" xfId="1" applyFont="1" applyAlignment="1" applyProtection="1">
      <alignment horizontal="left" vertical="center"/>
      <protection locked="0"/>
    </xf>
    <xf numFmtId="0" fontId="6" fillId="10" borderId="0" xfId="0" applyFont="1" applyFill="1" applyAlignment="1" applyProtection="1">
      <alignment horizontal="left" vertical="center"/>
    </xf>
    <xf numFmtId="0" fontId="7" fillId="0" borderId="0" xfId="0" applyFont="1" applyAlignment="1" applyProtection="1">
      <alignment horizontal="left" vertical="center"/>
      <protection locked="0"/>
    </xf>
    <xf numFmtId="0" fontId="3" fillId="0" borderId="0" xfId="1" applyAlignment="1" applyProtection="1">
      <alignment horizontal="left" vertical="center"/>
      <protection locked="0"/>
    </xf>
    <xf numFmtId="0" fontId="7" fillId="0" borderId="0" xfId="0" applyFont="1" applyAlignment="1" applyProtection="1">
      <alignment horizontal="left" vertical="center"/>
    </xf>
    <xf numFmtId="165" fontId="7" fillId="0" borderId="0" xfId="0" applyNumberFormat="1" applyFont="1" applyAlignment="1" applyProtection="1">
      <alignment horizontal="left" vertical="center"/>
      <protection locked="0"/>
    </xf>
    <xf numFmtId="49" fontId="7" fillId="0" borderId="0" xfId="0" quotePrefix="1" applyNumberFormat="1" applyFont="1" applyAlignment="1" applyProtection="1">
      <alignment horizontal="left" vertical="center"/>
      <protection locked="0"/>
    </xf>
    <xf numFmtId="0" fontId="6" fillId="10" borderId="0" xfId="0" applyNumberFormat="1" applyFont="1" applyFill="1" applyAlignment="1" applyProtection="1">
      <alignment horizontal="left" vertical="center" wrapText="1"/>
    </xf>
    <xf numFmtId="0" fontId="7" fillId="0" borderId="0" xfId="0" applyNumberFormat="1" applyFont="1" applyAlignment="1" applyProtection="1">
      <alignment horizontal="left" vertical="center"/>
      <protection locked="0"/>
    </xf>
    <xf numFmtId="0" fontId="7" fillId="0" borderId="0" xfId="0" applyNumberFormat="1" applyFont="1" applyAlignment="1" applyProtection="1">
      <alignment horizontal="left" vertical="center" wrapText="1"/>
      <protection locked="0"/>
    </xf>
    <xf numFmtId="0" fontId="9" fillId="0" borderId="0" xfId="0" quotePrefix="1" applyFont="1" applyProtection="1">
      <protection locked="0"/>
    </xf>
    <xf numFmtId="0" fontId="1" fillId="4" borderId="8" xfId="0" applyFont="1" applyFill="1" applyBorder="1" applyAlignment="1" applyProtection="1">
      <alignment horizontal="left" vertical="top"/>
    </xf>
    <xf numFmtId="0" fontId="1" fillId="4" borderId="9" xfId="0" applyFont="1" applyFill="1" applyBorder="1" applyAlignment="1" applyProtection="1">
      <alignment horizontal="left" vertical="top"/>
    </xf>
    <xf numFmtId="0" fontId="1" fillId="4" borderId="10" xfId="0" applyFont="1" applyFill="1" applyBorder="1" applyAlignment="1" applyProtection="1">
      <alignment horizontal="left" vertical="top"/>
    </xf>
    <xf numFmtId="0" fontId="1" fillId="4" borderId="11" xfId="0" applyFont="1" applyFill="1" applyBorder="1" applyAlignment="1" applyProtection="1">
      <alignment horizontal="left" vertical="top"/>
    </xf>
    <xf numFmtId="0" fontId="1" fillId="4" borderId="12" xfId="0" applyFont="1" applyFill="1" applyBorder="1" applyAlignment="1" applyProtection="1">
      <alignment horizontal="left" vertical="top"/>
    </xf>
    <xf numFmtId="0" fontId="5" fillId="0" borderId="8" xfId="0" applyFont="1" applyFill="1" applyBorder="1"/>
    <xf numFmtId="0" fontId="5" fillId="0" borderId="10" xfId="0" applyFont="1" applyFill="1" applyBorder="1"/>
    <xf numFmtId="0" fontId="0" fillId="0" borderId="0" xfId="0" applyFill="1"/>
    <xf numFmtId="0" fontId="0" fillId="0" borderId="0" xfId="0" applyFill="1" applyProtection="1"/>
    <xf numFmtId="0" fontId="6" fillId="10" borderId="0" xfId="0" applyFont="1" applyFill="1" applyAlignment="1" applyProtection="1">
      <alignment wrapText="1"/>
    </xf>
    <xf numFmtId="0" fontId="4" fillId="8" borderId="1" xfId="0" applyFont="1" applyFill="1" applyBorder="1" applyAlignment="1"/>
    <xf numFmtId="0" fontId="0" fillId="0" borderId="0" xfId="0" applyProtection="1">
      <protection locked="0"/>
    </xf>
    <xf numFmtId="0" fontId="12" fillId="5" borderId="16" xfId="0" applyFont="1" applyFill="1" applyBorder="1" applyAlignment="1" applyProtection="1">
      <alignment horizontal="center" vertical="center"/>
      <protection locked="0"/>
    </xf>
    <xf numFmtId="0" fontId="13" fillId="6" borderId="16" xfId="0" applyFont="1" applyFill="1" applyBorder="1" applyAlignment="1" applyProtection="1">
      <alignment horizontal="center" vertical="center"/>
      <protection locked="0"/>
    </xf>
    <xf numFmtId="0" fontId="13" fillId="7" borderId="16" xfId="0" applyFont="1" applyFill="1" applyBorder="1" applyAlignment="1" applyProtection="1">
      <alignment horizontal="center" vertical="center"/>
      <protection locked="0"/>
    </xf>
    <xf numFmtId="0" fontId="12" fillId="9" borderId="16" xfId="0" applyFont="1" applyFill="1" applyBorder="1" applyAlignment="1" applyProtection="1">
      <alignment horizontal="center" vertical="center"/>
      <protection locked="0"/>
    </xf>
    <xf numFmtId="0" fontId="12" fillId="11" borderId="16" xfId="0" applyFont="1" applyFill="1" applyBorder="1" applyAlignment="1" applyProtection="1">
      <alignment horizontal="center" vertical="center"/>
      <protection locked="0"/>
    </xf>
    <xf numFmtId="0" fontId="12" fillId="8" borderId="16" xfId="0" applyFont="1" applyFill="1" applyBorder="1" applyAlignment="1" applyProtection="1">
      <alignment horizontal="center" vertical="center"/>
      <protection locked="0"/>
    </xf>
    <xf numFmtId="0" fontId="17" fillId="0" borderId="0" xfId="1" applyFont="1" applyProtection="1">
      <protection locked="0"/>
    </xf>
    <xf numFmtId="0" fontId="17" fillId="0" borderId="0" xfId="1" quotePrefix="1" applyFont="1" applyProtection="1">
      <protection locked="0"/>
    </xf>
    <xf numFmtId="0" fontId="4" fillId="8" borderId="7" xfId="0" applyFont="1" applyFill="1" applyBorder="1" applyAlignment="1"/>
    <xf numFmtId="0" fontId="5" fillId="0" borderId="9" xfId="0" applyFont="1" applyFill="1" applyBorder="1"/>
    <xf numFmtId="0" fontId="5" fillId="0" borderId="12" xfId="0" applyFont="1" applyFill="1" applyBorder="1"/>
    <xf numFmtId="0" fontId="4" fillId="8" borderId="17" xfId="0" applyFont="1" applyFill="1" applyBorder="1" applyAlignment="1"/>
    <xf numFmtId="0" fontId="5" fillId="0" borderId="18" xfId="0" applyFont="1" applyBorder="1"/>
    <xf numFmtId="0" fontId="5" fillId="0" borderId="19" xfId="0" applyFont="1" applyBorder="1"/>
    <xf numFmtId="0" fontId="2" fillId="2" borderId="2" xfId="0" applyFont="1" applyFill="1" applyBorder="1" applyAlignment="1" applyProtection="1">
      <alignment horizontal="center" vertical="center"/>
    </xf>
    <xf numFmtId="0" fontId="2" fillId="2" borderId="3" xfId="0" applyFont="1" applyFill="1" applyBorder="1" applyAlignment="1" applyProtection="1">
      <alignment horizontal="center" vertical="center"/>
    </xf>
    <xf numFmtId="0" fontId="2" fillId="2" borderId="4" xfId="0" applyFont="1" applyFill="1" applyBorder="1" applyAlignment="1" applyProtection="1">
      <alignment horizontal="center" vertical="center"/>
    </xf>
    <xf numFmtId="0" fontId="1" fillId="0" borderId="5" xfId="0" applyFont="1" applyBorder="1" applyAlignment="1" applyProtection="1">
      <alignment horizontal="center" vertical="center"/>
    </xf>
    <xf numFmtId="164" fontId="1" fillId="0" borderId="6" xfId="0" applyNumberFormat="1" applyFont="1" applyBorder="1" applyAlignment="1" applyProtection="1">
      <alignment horizontal="center" vertical="center"/>
    </xf>
    <xf numFmtId="0" fontId="1" fillId="0" borderId="6" xfId="0" applyFont="1" applyBorder="1" applyAlignment="1" applyProtection="1">
      <alignment horizontal="center" vertical="center"/>
    </xf>
    <xf numFmtId="0" fontId="1" fillId="0" borderId="7" xfId="0" applyFont="1" applyBorder="1" applyAlignment="1" applyProtection="1">
      <alignment horizontal="center" vertical="center"/>
    </xf>
    <xf numFmtId="0" fontId="1" fillId="0" borderId="8" xfId="0" applyFont="1" applyBorder="1" applyAlignment="1" applyProtection="1">
      <alignment horizontal="center" vertical="center"/>
    </xf>
    <xf numFmtId="164" fontId="1" fillId="0" borderId="0" xfId="0" applyNumberFormat="1" applyFont="1" applyBorder="1" applyAlignment="1" applyProtection="1">
      <alignment horizontal="center" vertical="center"/>
    </xf>
    <xf numFmtId="0" fontId="1" fillId="0" borderId="0" xfId="0" applyFont="1" applyBorder="1" applyAlignment="1" applyProtection="1">
      <alignment horizontal="center" vertical="center"/>
    </xf>
    <xf numFmtId="0" fontId="1" fillId="0" borderId="9" xfId="0" applyFont="1" applyBorder="1" applyAlignment="1" applyProtection="1">
      <alignment horizontal="center" vertical="center"/>
    </xf>
    <xf numFmtId="0" fontId="1" fillId="0" borderId="10" xfId="0" applyFont="1" applyBorder="1" applyAlignment="1" applyProtection="1">
      <alignment horizontal="center" vertical="center"/>
    </xf>
    <xf numFmtId="164" fontId="1" fillId="0" borderId="11" xfId="0" applyNumberFormat="1" applyFont="1" applyBorder="1" applyAlignment="1" applyProtection="1">
      <alignment horizontal="center" vertical="center"/>
    </xf>
    <xf numFmtId="0" fontId="1" fillId="0" borderId="11" xfId="0" applyFont="1" applyBorder="1" applyAlignment="1" applyProtection="1">
      <alignment horizontal="center" vertical="center"/>
    </xf>
    <xf numFmtId="0" fontId="1" fillId="0" borderId="12" xfId="0" applyFont="1" applyBorder="1" applyAlignment="1" applyProtection="1">
      <alignment horizontal="center" vertical="center"/>
    </xf>
    <xf numFmtId="0" fontId="9" fillId="0" borderId="0" xfId="0" applyFont="1" applyFill="1" applyAlignment="1" applyProtection="1">
      <alignment horizontal="left" vertical="center"/>
      <protection locked="0"/>
    </xf>
    <xf numFmtId="2" fontId="9" fillId="0" borderId="0" xfId="0" applyNumberFormat="1" applyFont="1" applyAlignment="1" applyProtection="1">
      <alignment horizontal="left" vertical="center"/>
      <protection locked="0"/>
    </xf>
    <xf numFmtId="1" fontId="9" fillId="0" borderId="0" xfId="0" applyNumberFormat="1" applyFont="1" applyAlignment="1" applyProtection="1">
      <alignment horizontal="left" vertical="center"/>
      <protection locked="0"/>
    </xf>
    <xf numFmtId="49" fontId="9" fillId="0" borderId="0" xfId="0" applyNumberFormat="1" applyFont="1" applyAlignment="1" applyProtection="1">
      <alignment horizontal="left" vertical="center"/>
      <protection locked="0"/>
    </xf>
    <xf numFmtId="0" fontId="5" fillId="0" borderId="8" xfId="0" applyFont="1" applyFill="1" applyBorder="1" applyAlignment="1">
      <alignment horizontal="center"/>
    </xf>
    <xf numFmtId="0" fontId="5" fillId="0" borderId="5" xfId="0" applyFont="1" applyFill="1" applyBorder="1" applyAlignment="1">
      <alignment horizontal="center"/>
    </xf>
    <xf numFmtId="0" fontId="5" fillId="0" borderId="7" xfId="0" applyFont="1" applyFill="1" applyBorder="1" applyAlignment="1">
      <alignment horizontal="center"/>
    </xf>
    <xf numFmtId="0" fontId="5" fillId="0" borderId="9" xfId="0" applyFont="1" applyFill="1" applyBorder="1" applyAlignment="1">
      <alignment horizontal="center"/>
    </xf>
    <xf numFmtId="0" fontId="5" fillId="0" borderId="12" xfId="0" applyFont="1" applyBorder="1" applyAlignment="1">
      <alignment horizontal="center"/>
    </xf>
    <xf numFmtId="0" fontId="5" fillId="0" borderId="8" xfId="0" applyFont="1" applyBorder="1" applyAlignment="1">
      <alignment horizontal="center"/>
    </xf>
    <xf numFmtId="0" fontId="5" fillId="0" borderId="9" xfId="0" applyFont="1" applyBorder="1" applyAlignment="1">
      <alignment horizontal="center"/>
    </xf>
    <xf numFmtId="0" fontId="5" fillId="0" borderId="10" xfId="0" applyFont="1" applyBorder="1" applyAlignment="1">
      <alignment horizontal="center"/>
    </xf>
    <xf numFmtId="0" fontId="2" fillId="2" borderId="2" xfId="0" applyFont="1" applyFill="1" applyBorder="1" applyAlignment="1" applyProtection="1">
      <alignment horizontal="left" vertical="center"/>
    </xf>
    <xf numFmtId="0" fontId="2" fillId="2" borderId="3" xfId="0" applyFont="1" applyFill="1" applyBorder="1" applyAlignment="1" applyProtection="1">
      <alignment horizontal="left" vertical="center"/>
    </xf>
    <xf numFmtId="0" fontId="2" fillId="2" borderId="4" xfId="0" applyFont="1" applyFill="1" applyBorder="1" applyAlignment="1" applyProtection="1">
      <alignment horizontal="left" vertical="center"/>
    </xf>
    <xf numFmtId="0" fontId="14" fillId="0" borderId="8" xfId="0" applyFont="1" applyBorder="1" applyAlignment="1" applyProtection="1">
      <alignment horizontal="left" vertical="top" wrapText="1"/>
    </xf>
    <xf numFmtId="0" fontId="14" fillId="0" borderId="0" xfId="0" applyFont="1" applyBorder="1" applyAlignment="1" applyProtection="1">
      <alignment horizontal="left" vertical="top" wrapText="1"/>
    </xf>
    <xf numFmtId="0" fontId="14" fillId="0" borderId="9" xfId="0" applyFont="1" applyBorder="1" applyAlignment="1" applyProtection="1">
      <alignment horizontal="left" vertical="top" wrapText="1"/>
    </xf>
    <xf numFmtId="0" fontId="4" fillId="8" borderId="5" xfId="0" applyFont="1" applyFill="1" applyBorder="1" applyAlignment="1">
      <alignment horizontal="center"/>
    </xf>
    <xf numFmtId="0" fontId="4" fillId="8" borderId="6" xfId="0" applyFont="1" applyFill="1" applyBorder="1" applyAlignment="1">
      <alignment horizontal="center"/>
    </xf>
    <xf numFmtId="0" fontId="4" fillId="8" borderId="7" xfId="0" applyFont="1" applyFill="1" applyBorder="1" applyAlignment="1">
      <alignment horizontal="center"/>
    </xf>
  </cellXfs>
  <cellStyles count="2">
    <cellStyle name="Lien hypertexte" xfId="1" builtinId="8"/>
    <cellStyle name="Normal" xfId="0" builtinId="0"/>
  </cellStyles>
  <dxfs count="215">
    <dxf>
      <font>
        <strike val="0"/>
        <outline val="0"/>
        <shadow val="0"/>
        <u val="none"/>
        <vertAlign val="baseline"/>
        <sz val="8"/>
        <color theme="0"/>
        <name val="Dialog"/>
        <scheme val="none"/>
      </font>
      <numFmt numFmtId="0" formatCode="General"/>
      <fill>
        <patternFill patternType="solid">
          <fgColor indexed="64"/>
          <bgColor theme="3" tint="0.39997558519241921"/>
        </patternFill>
      </fill>
      <protection locked="1" hidden="0"/>
    </dxf>
    <dxf>
      <font>
        <strike val="0"/>
        <outline val="0"/>
        <shadow val="0"/>
        <u val="none"/>
        <vertAlign val="baseline"/>
        <sz val="8"/>
        <color theme="0"/>
        <name val="Dialog"/>
        <scheme val="none"/>
      </font>
      <numFmt numFmtId="0" formatCode="General"/>
      <fill>
        <patternFill patternType="solid">
          <fgColor indexed="64"/>
          <bgColor theme="3" tint="0.39997558519241921"/>
        </patternFill>
      </fill>
      <protection locked="1" hidden="0"/>
    </dxf>
    <dxf>
      <font>
        <strike val="0"/>
        <outline val="0"/>
        <shadow val="0"/>
        <u val="none"/>
        <vertAlign val="baseline"/>
        <sz val="8"/>
        <color theme="1"/>
        <name val="Dialog"/>
        <scheme val="none"/>
      </font>
      <protection locked="0" hidden="0"/>
    </dxf>
    <dxf>
      <font>
        <strike val="0"/>
        <outline val="0"/>
        <shadow val="0"/>
        <u val="none"/>
        <vertAlign val="baseline"/>
        <sz val="8"/>
        <color theme="0"/>
        <name val="Dialog"/>
        <scheme val="none"/>
      </font>
      <numFmt numFmtId="0" formatCode="General"/>
      <fill>
        <patternFill patternType="solid">
          <fgColor indexed="64"/>
          <bgColor theme="3" tint="0.39997558519241921"/>
        </patternFill>
      </fill>
      <alignment horizontal="general" vertical="bottom" textRotation="0" wrapText="1" indent="0" justifyLastLine="0" shrinkToFit="0" readingOrder="0"/>
      <protection locked="1" hidden="0"/>
    </dxf>
    <dxf>
      <font>
        <strike val="0"/>
        <outline val="0"/>
        <shadow val="0"/>
        <u val="none"/>
        <vertAlign val="baseline"/>
        <sz val="8"/>
        <color theme="0"/>
        <name val="Dialog"/>
        <scheme val="none"/>
      </font>
      <numFmt numFmtId="0" formatCode="General"/>
      <fill>
        <patternFill patternType="solid">
          <fgColor indexed="64"/>
          <bgColor theme="3" tint="0.39997558519241921"/>
        </patternFill>
      </fill>
      <protection locked="1" hidden="0"/>
    </dxf>
    <dxf>
      <font>
        <strike val="0"/>
        <outline val="0"/>
        <shadow val="0"/>
        <u val="none"/>
        <vertAlign val="baseline"/>
        <sz val="8"/>
        <color theme="1"/>
        <name val="Dialog"/>
        <scheme val="none"/>
      </font>
      <protection locked="0" hidden="0"/>
    </dxf>
    <dxf>
      <font>
        <strike val="0"/>
        <outline val="0"/>
        <shadow val="0"/>
        <u val="none"/>
        <vertAlign val="baseline"/>
        <sz val="8"/>
        <color theme="1"/>
        <name val="Dialog"/>
        <scheme val="none"/>
      </font>
      <protection locked="0" hidden="0"/>
    </dxf>
    <dxf>
      <font>
        <strike val="0"/>
        <outline val="0"/>
        <shadow val="0"/>
        <u val="none"/>
        <vertAlign val="baseline"/>
        <sz val="8"/>
        <color theme="1"/>
        <name val="Dialog"/>
        <scheme val="none"/>
      </font>
      <protection locked="0" hidden="0"/>
    </dxf>
    <dxf>
      <font>
        <strike val="0"/>
        <outline val="0"/>
        <shadow val="0"/>
        <u val="none"/>
        <vertAlign val="baseline"/>
        <sz val="8"/>
        <color theme="0"/>
        <name val="Dialog"/>
        <scheme val="none"/>
      </font>
      <numFmt numFmtId="0" formatCode="General"/>
      <fill>
        <patternFill patternType="solid">
          <fgColor indexed="64"/>
          <bgColor theme="3" tint="0.39997558519241921"/>
        </patternFill>
      </fill>
      <alignment horizontal="general" vertical="bottom" textRotation="0" wrapText="1" indent="0" justifyLastLine="0" shrinkToFit="0" readingOrder="0"/>
      <protection locked="1" hidden="0"/>
    </dxf>
    <dxf>
      <font>
        <strike val="0"/>
        <outline val="0"/>
        <shadow val="0"/>
        <u val="none"/>
        <vertAlign val="baseline"/>
        <sz val="8"/>
        <color theme="0"/>
        <name val="Dialog"/>
        <scheme val="none"/>
      </font>
      <numFmt numFmtId="0" formatCode="General"/>
      <fill>
        <patternFill patternType="solid">
          <fgColor indexed="64"/>
          <bgColor theme="3" tint="0.39997558519241921"/>
        </patternFill>
      </fill>
      <protection locked="1" hidden="0"/>
    </dxf>
    <dxf>
      <font>
        <strike val="0"/>
        <outline val="0"/>
        <shadow val="0"/>
        <u val="none"/>
        <vertAlign val="baseline"/>
        <sz val="8"/>
        <color theme="1"/>
        <name val="Dialog"/>
        <scheme val="none"/>
      </font>
      <protection locked="0" hidden="0"/>
    </dxf>
    <dxf>
      <font>
        <b val="0"/>
        <i val="0"/>
        <strike val="0"/>
        <condense val="0"/>
        <extend val="0"/>
        <outline val="0"/>
        <shadow val="0"/>
        <u val="none"/>
        <vertAlign val="baseline"/>
        <sz val="8"/>
        <color theme="0"/>
        <name val="Dialog"/>
        <scheme val="none"/>
      </font>
      <numFmt numFmtId="0" formatCode="General"/>
      <fill>
        <patternFill patternType="solid">
          <fgColor indexed="64"/>
          <bgColor theme="3" tint="0.39997558519241921"/>
        </patternFill>
      </fill>
      <protection locked="1" hidden="0"/>
    </dxf>
    <dxf>
      <font>
        <b val="0"/>
        <i val="0"/>
        <strike val="0"/>
        <condense val="0"/>
        <extend val="0"/>
        <outline val="0"/>
        <shadow val="0"/>
        <u val="none"/>
        <vertAlign val="baseline"/>
        <sz val="8"/>
        <color theme="0"/>
        <name val="Dialog"/>
        <scheme val="none"/>
      </font>
      <numFmt numFmtId="0" formatCode="General"/>
      <fill>
        <patternFill patternType="solid">
          <fgColor indexed="64"/>
          <bgColor theme="3" tint="0.39997558519241921"/>
        </patternFill>
      </fill>
      <protection locked="1" hidden="0"/>
    </dxf>
    <dxf>
      <font>
        <strike val="0"/>
        <outline val="0"/>
        <shadow val="0"/>
        <u val="none"/>
        <vertAlign val="baseline"/>
        <sz val="8"/>
        <color theme="1"/>
        <name val="Dialog"/>
        <scheme val="none"/>
      </font>
      <protection locked="0" hidden="0"/>
    </dxf>
    <dxf>
      <font>
        <strike val="0"/>
        <outline val="0"/>
        <shadow val="0"/>
        <u val="none"/>
        <vertAlign val="baseline"/>
        <sz val="8"/>
        <color theme="1"/>
        <name val="Dialog"/>
        <scheme val="none"/>
      </font>
      <protection locked="0" hidden="0"/>
    </dxf>
    <dxf>
      <font>
        <strike val="0"/>
        <outline val="0"/>
        <shadow val="0"/>
        <u val="none"/>
        <vertAlign val="baseline"/>
        <sz val="8"/>
        <color theme="1"/>
        <name val="Dialog"/>
        <scheme val="none"/>
      </font>
      <protection locked="0" hidden="0"/>
    </dxf>
    <dxf>
      <font>
        <strike val="0"/>
        <outline val="0"/>
        <shadow val="0"/>
        <u val="none"/>
        <vertAlign val="baseline"/>
        <sz val="8"/>
        <color theme="1"/>
        <name val="Dialog"/>
        <scheme val="none"/>
      </font>
      <protection locked="0" hidden="0"/>
    </dxf>
    <dxf>
      <font>
        <b val="0"/>
        <i val="0"/>
        <strike val="0"/>
        <condense val="0"/>
        <extend val="0"/>
        <outline val="0"/>
        <shadow val="0"/>
        <u val="none"/>
        <vertAlign val="baseline"/>
        <sz val="8"/>
        <color theme="0"/>
        <name val="Dialog"/>
        <scheme val="none"/>
      </font>
      <numFmt numFmtId="0" formatCode="General"/>
      <fill>
        <patternFill patternType="solid">
          <fgColor indexed="64"/>
          <bgColor theme="3" tint="0.39997558519241921"/>
        </patternFill>
      </fill>
      <protection locked="1" hidden="0"/>
    </dxf>
    <dxf>
      <font>
        <b val="0"/>
        <i val="0"/>
        <strike val="0"/>
        <condense val="0"/>
        <extend val="0"/>
        <outline val="0"/>
        <shadow val="0"/>
        <u val="none"/>
        <vertAlign val="baseline"/>
        <sz val="8"/>
        <color theme="0"/>
        <name val="Dialog"/>
        <scheme val="none"/>
      </font>
      <numFmt numFmtId="0" formatCode="General"/>
      <fill>
        <patternFill patternType="solid">
          <fgColor indexed="64"/>
          <bgColor theme="3" tint="0.39997558519241921"/>
        </patternFill>
      </fill>
      <protection locked="1" hidden="0"/>
    </dxf>
    <dxf>
      <font>
        <strike val="0"/>
        <outline val="0"/>
        <shadow val="0"/>
        <u val="none"/>
        <vertAlign val="baseline"/>
        <sz val="8"/>
        <color theme="1"/>
        <name val="Dialog"/>
        <scheme val="none"/>
      </font>
      <protection locked="0" hidden="0"/>
    </dxf>
    <dxf>
      <font>
        <b val="0"/>
        <i val="0"/>
        <strike val="0"/>
        <condense val="0"/>
        <extend val="0"/>
        <outline val="0"/>
        <shadow val="0"/>
        <u val="none"/>
        <vertAlign val="baseline"/>
        <sz val="8"/>
        <color theme="0"/>
        <name val="Dialog"/>
        <scheme val="none"/>
      </font>
      <numFmt numFmtId="0" formatCode="General"/>
      <fill>
        <patternFill patternType="solid">
          <fgColor indexed="64"/>
          <bgColor theme="3" tint="0.39997558519241921"/>
        </patternFill>
      </fill>
      <protection locked="1" hidden="0"/>
    </dxf>
    <dxf>
      <font>
        <b val="0"/>
        <i val="0"/>
        <strike val="0"/>
        <condense val="0"/>
        <extend val="0"/>
        <outline val="0"/>
        <shadow val="0"/>
        <u val="none"/>
        <vertAlign val="baseline"/>
        <sz val="8"/>
        <color theme="0"/>
        <name val="Dialog"/>
        <scheme val="none"/>
      </font>
      <numFmt numFmtId="0" formatCode="General"/>
      <fill>
        <patternFill patternType="solid">
          <fgColor indexed="64"/>
          <bgColor theme="3" tint="0.39997558519241921"/>
        </patternFill>
      </fill>
      <protection locked="1" hidden="0"/>
    </dxf>
    <dxf>
      <font>
        <strike val="0"/>
        <outline val="0"/>
        <shadow val="0"/>
        <u val="none"/>
        <vertAlign val="baseline"/>
        <sz val="8"/>
        <color theme="1"/>
        <name val="Dialog"/>
        <scheme val="none"/>
      </font>
      <protection locked="0" hidden="0"/>
    </dxf>
    <dxf>
      <font>
        <strike val="0"/>
        <outline val="0"/>
        <shadow val="0"/>
        <u val="none"/>
        <vertAlign val="baseline"/>
        <sz val="8"/>
        <color theme="1"/>
        <name val="Dialog"/>
        <scheme val="none"/>
      </font>
      <protection locked="0" hidden="0"/>
    </dxf>
    <dxf>
      <font>
        <strike val="0"/>
        <outline val="0"/>
        <shadow val="0"/>
        <u val="none"/>
        <vertAlign val="baseline"/>
        <sz val="8"/>
        <color theme="1"/>
        <name val="Dialog"/>
        <scheme val="none"/>
      </font>
      <protection locked="0" hidden="0"/>
    </dxf>
    <dxf>
      <font>
        <strike val="0"/>
        <outline val="0"/>
        <shadow val="0"/>
        <u val="none"/>
        <vertAlign val="baseline"/>
        <sz val="8"/>
        <color theme="0"/>
        <name val="Dialog"/>
        <scheme val="none"/>
      </font>
      <numFmt numFmtId="0" formatCode="General"/>
      <fill>
        <patternFill patternType="solid">
          <fgColor indexed="64"/>
          <bgColor theme="3" tint="0.39997558519241921"/>
        </patternFill>
      </fill>
      <protection locked="1" hidden="0"/>
    </dxf>
    <dxf>
      <font>
        <strike val="0"/>
        <outline val="0"/>
        <shadow val="0"/>
        <u val="none"/>
        <vertAlign val="baseline"/>
        <sz val="8"/>
        <color theme="0"/>
        <name val="Dialog"/>
        <scheme val="none"/>
      </font>
      <numFmt numFmtId="0" formatCode="General"/>
      <fill>
        <patternFill patternType="solid">
          <fgColor indexed="64"/>
          <bgColor theme="3" tint="0.39997558519241921"/>
        </patternFill>
      </fill>
      <protection locked="1" hidden="0"/>
    </dxf>
    <dxf>
      <font>
        <strike val="0"/>
        <outline val="0"/>
        <shadow val="0"/>
        <u val="none"/>
        <vertAlign val="baseline"/>
        <sz val="8"/>
        <color theme="1"/>
        <name val="Dialog"/>
        <scheme val="none"/>
      </font>
      <protection locked="0" hidden="0"/>
    </dxf>
    <dxf>
      <font>
        <b val="0"/>
        <i val="0"/>
        <strike val="0"/>
        <condense val="0"/>
        <extend val="0"/>
        <outline val="0"/>
        <shadow val="0"/>
        <u val="none"/>
        <vertAlign val="baseline"/>
        <sz val="8"/>
        <color theme="0"/>
        <name val="Dialog"/>
        <scheme val="none"/>
      </font>
      <numFmt numFmtId="0" formatCode="General"/>
      <fill>
        <patternFill patternType="solid">
          <fgColor indexed="64"/>
          <bgColor theme="3" tint="0.39997558519241921"/>
        </patternFill>
      </fill>
      <protection locked="1" hidden="0"/>
    </dxf>
    <dxf>
      <font>
        <b val="0"/>
        <i val="0"/>
        <strike val="0"/>
        <condense val="0"/>
        <extend val="0"/>
        <outline val="0"/>
        <shadow val="0"/>
        <u val="none"/>
        <vertAlign val="baseline"/>
        <sz val="8"/>
        <color theme="0"/>
        <name val="Dialog"/>
        <scheme val="none"/>
      </font>
      <numFmt numFmtId="0" formatCode="General"/>
      <fill>
        <patternFill patternType="solid">
          <fgColor indexed="64"/>
          <bgColor theme="3" tint="0.39997558519241921"/>
        </patternFill>
      </fill>
      <protection locked="1" hidden="0"/>
    </dxf>
    <dxf>
      <font>
        <strike val="0"/>
        <outline val="0"/>
        <shadow val="0"/>
        <u val="none"/>
        <vertAlign val="baseline"/>
        <sz val="8"/>
        <color theme="1"/>
        <name val="Dialog"/>
        <scheme val="none"/>
      </font>
      <protection locked="0" hidden="0"/>
    </dxf>
    <dxf>
      <font>
        <strike val="0"/>
        <outline val="0"/>
        <shadow val="0"/>
        <u val="none"/>
        <vertAlign val="baseline"/>
        <sz val="8"/>
        <color theme="1"/>
        <name val="Dialog"/>
        <scheme val="none"/>
      </font>
      <protection locked="0" hidden="0"/>
    </dxf>
    <dxf>
      <font>
        <strike val="0"/>
        <outline val="0"/>
        <shadow val="0"/>
        <u val="none"/>
        <vertAlign val="baseline"/>
        <sz val="8"/>
        <color theme="1"/>
        <name val="Dialog"/>
        <scheme val="none"/>
      </font>
    </dxf>
    <dxf>
      <font>
        <strike val="0"/>
        <outline val="0"/>
        <shadow val="0"/>
        <u val="none"/>
        <vertAlign val="baseline"/>
        <sz val="8"/>
        <color theme="1"/>
        <name val="Dialog"/>
        <scheme val="none"/>
      </font>
      <numFmt numFmtId="30" formatCode="@"/>
      <alignment horizontal="left" vertical="center" textRotation="0" wrapText="0" indent="0" justifyLastLine="0" shrinkToFit="0" readingOrder="0"/>
      <protection locked="0" hidden="0"/>
    </dxf>
    <dxf>
      <font>
        <strike val="0"/>
        <outline val="0"/>
        <shadow val="0"/>
        <u val="none"/>
        <vertAlign val="baseline"/>
        <sz val="8"/>
        <color theme="1"/>
        <name val="Dialog"/>
        <scheme val="none"/>
      </font>
      <alignment horizontal="left" vertical="center" textRotation="0" wrapText="0" indent="0" justifyLastLine="0" shrinkToFit="0" readingOrder="0"/>
      <protection locked="0" hidden="0"/>
    </dxf>
    <dxf>
      <font>
        <strike val="0"/>
        <outline val="0"/>
        <shadow val="0"/>
        <u val="none"/>
        <vertAlign val="baseline"/>
        <sz val="8"/>
        <color theme="1"/>
        <name val="Dialog"/>
        <scheme val="none"/>
      </font>
      <numFmt numFmtId="2" formatCode="0.00"/>
      <alignment horizontal="left" vertical="center" textRotation="0" wrapText="0" indent="0" justifyLastLine="0" shrinkToFit="0" readingOrder="0"/>
      <protection locked="0" hidden="0"/>
    </dxf>
    <dxf>
      <font>
        <strike val="0"/>
        <outline val="0"/>
        <shadow val="0"/>
        <u val="none"/>
        <vertAlign val="baseline"/>
        <sz val="8"/>
        <color theme="1"/>
        <name val="Dialog"/>
        <scheme val="none"/>
      </font>
      <numFmt numFmtId="2" formatCode="0.00"/>
      <alignment horizontal="left" vertical="center" textRotation="0" wrapText="0" indent="0" justifyLastLine="0" shrinkToFit="0" readingOrder="0"/>
      <protection locked="0" hidden="0"/>
    </dxf>
    <dxf>
      <font>
        <strike val="0"/>
        <outline val="0"/>
        <shadow val="0"/>
        <u val="none"/>
        <vertAlign val="baseline"/>
        <sz val="8"/>
        <color theme="1"/>
        <name val="Dialog"/>
        <scheme val="none"/>
      </font>
      <numFmt numFmtId="1" formatCode="0"/>
      <alignment horizontal="left" vertical="center" textRotation="0" wrapText="0" indent="0" justifyLastLine="0" shrinkToFit="0" readingOrder="0"/>
      <protection locked="0" hidden="0"/>
    </dxf>
    <dxf>
      <font>
        <strike val="0"/>
        <outline val="0"/>
        <shadow val="0"/>
        <u val="none"/>
        <vertAlign val="baseline"/>
        <sz val="8"/>
        <color theme="1"/>
        <name val="Dialog"/>
        <scheme val="none"/>
      </font>
      <numFmt numFmtId="1" formatCode="0"/>
      <alignment horizontal="left" vertical="center" textRotation="0" wrapText="0" indent="0" justifyLastLine="0" shrinkToFit="0" readingOrder="0"/>
      <protection locked="0" hidden="0"/>
    </dxf>
    <dxf>
      <font>
        <strike val="0"/>
        <outline val="0"/>
        <shadow val="0"/>
        <u val="none"/>
        <vertAlign val="baseline"/>
        <sz val="8"/>
        <color theme="1"/>
        <name val="Dialog"/>
        <scheme val="none"/>
      </font>
      <alignment horizontal="left" vertical="center" textRotation="0" wrapText="0" indent="0" justifyLastLine="0" shrinkToFit="0" readingOrder="0"/>
      <protection locked="0" hidden="0"/>
    </dxf>
    <dxf>
      <font>
        <strike val="0"/>
        <outline val="0"/>
        <shadow val="0"/>
        <u val="none"/>
        <vertAlign val="baseline"/>
        <sz val="8"/>
        <color theme="1"/>
        <name val="Dialog"/>
        <scheme val="none"/>
      </font>
      <alignment horizontal="left" vertical="center" textRotation="0" wrapText="0" indent="0" justifyLastLine="0" shrinkToFit="0" readingOrder="0"/>
      <protection locked="0" hidden="0"/>
    </dxf>
    <dxf>
      <font>
        <strike val="0"/>
        <outline val="0"/>
        <shadow val="0"/>
        <u val="none"/>
        <vertAlign val="baseline"/>
        <sz val="8"/>
        <color theme="1"/>
        <name val="Dialog"/>
        <scheme val="none"/>
      </font>
      <alignment horizontal="left" vertical="center" textRotation="0" wrapText="0" indent="0" justifyLastLine="0" shrinkToFit="0" readingOrder="0"/>
      <protection locked="0" hidden="0"/>
    </dxf>
    <dxf>
      <font>
        <strike val="0"/>
        <outline val="0"/>
        <shadow val="0"/>
        <u val="none"/>
        <vertAlign val="baseline"/>
        <sz val="8"/>
        <color theme="1"/>
        <name val="Dialog"/>
        <scheme val="none"/>
      </font>
      <alignment horizontal="left" vertical="center" textRotation="0" wrapText="0" indent="0" justifyLastLine="0" shrinkToFit="0" readingOrder="0"/>
      <protection locked="0" hidden="0"/>
    </dxf>
    <dxf>
      <font>
        <b val="0"/>
        <i val="0"/>
        <strike val="0"/>
        <condense val="0"/>
        <extend val="0"/>
        <outline val="0"/>
        <shadow val="0"/>
        <u val="none"/>
        <vertAlign val="baseline"/>
        <sz val="8"/>
        <color rgb="FF000000"/>
        <name val="Dialog"/>
        <scheme val="none"/>
      </font>
      <numFmt numFmtId="30" formatCode="@"/>
      <alignment horizontal="left" vertical="center" textRotation="0" wrapText="1" indent="0" justifyLastLine="0" shrinkToFit="0" readingOrder="0"/>
      <protection locked="0" hidden="0"/>
    </dxf>
    <dxf>
      <font>
        <b val="0"/>
        <i val="0"/>
        <strike val="0"/>
        <condense val="0"/>
        <extend val="0"/>
        <outline val="0"/>
        <shadow val="0"/>
        <u val="none"/>
        <vertAlign val="baseline"/>
        <sz val="8"/>
        <color rgb="FF000000"/>
        <name val="Dialog"/>
        <scheme val="none"/>
      </font>
      <numFmt numFmtId="30" formatCode="@"/>
      <alignment horizontal="left" vertical="center" textRotation="0" wrapText="1" indent="0" justifyLastLine="0" shrinkToFit="0" readingOrder="0"/>
      <protection locked="0" hidden="0"/>
    </dxf>
    <dxf>
      <font>
        <b val="0"/>
        <i val="0"/>
        <strike val="0"/>
        <condense val="0"/>
        <extend val="0"/>
        <outline val="0"/>
        <shadow val="0"/>
        <u val="none"/>
        <vertAlign val="baseline"/>
        <sz val="8"/>
        <color rgb="FF000000"/>
        <name val="Dialog"/>
        <scheme val="none"/>
      </font>
      <numFmt numFmtId="30" formatCode="@"/>
      <alignment horizontal="left" vertical="center" textRotation="0" wrapText="1" indent="0" justifyLastLine="0" shrinkToFit="0" readingOrder="0"/>
      <protection locked="0" hidden="0"/>
    </dxf>
    <dxf>
      <font>
        <b val="0"/>
        <i val="0"/>
        <strike val="0"/>
        <condense val="0"/>
        <extend val="0"/>
        <outline val="0"/>
        <shadow val="0"/>
        <u val="none"/>
        <vertAlign val="baseline"/>
        <sz val="8"/>
        <color rgb="FF000000"/>
        <name val="Dialog"/>
        <scheme val="none"/>
      </font>
      <numFmt numFmtId="30" formatCode="@"/>
      <alignment horizontal="left" vertical="center" textRotation="0" wrapText="1" indent="0" justifyLastLine="0" shrinkToFit="0" readingOrder="0"/>
      <protection locked="0" hidden="0"/>
    </dxf>
    <dxf>
      <font>
        <b val="0"/>
        <i val="0"/>
        <strike val="0"/>
        <condense val="0"/>
        <extend val="0"/>
        <outline val="0"/>
        <shadow val="0"/>
        <u val="none"/>
        <vertAlign val="baseline"/>
        <sz val="8"/>
        <color rgb="FF000000"/>
        <name val="Dialog"/>
        <scheme val="none"/>
      </font>
      <numFmt numFmtId="30" formatCode="@"/>
      <alignment horizontal="left" vertical="center" textRotation="0" wrapText="1" indent="0" justifyLastLine="0" shrinkToFit="0" readingOrder="0"/>
      <protection locked="0" hidden="0"/>
    </dxf>
    <dxf>
      <font>
        <b val="0"/>
        <i val="0"/>
        <strike val="0"/>
        <condense val="0"/>
        <extend val="0"/>
        <outline val="0"/>
        <shadow val="0"/>
        <u val="none"/>
        <vertAlign val="baseline"/>
        <sz val="8"/>
        <color rgb="FF000000"/>
        <name val="Dialog"/>
        <scheme val="none"/>
      </font>
      <numFmt numFmtId="30" formatCode="@"/>
      <alignment horizontal="left" vertical="center" textRotation="0" indent="0" justifyLastLine="0" shrinkToFit="0" readingOrder="0"/>
      <protection locked="0" hidden="0"/>
    </dxf>
    <dxf>
      <font>
        <b val="0"/>
        <i val="0"/>
        <strike val="0"/>
        <condense val="0"/>
        <extend val="0"/>
        <outline val="0"/>
        <shadow val="0"/>
        <u val="none"/>
        <vertAlign val="baseline"/>
        <sz val="8"/>
        <color rgb="FF000000"/>
        <name val="Dialog"/>
        <scheme val="none"/>
      </font>
      <numFmt numFmtId="30" formatCode="@"/>
      <alignment horizontal="left" vertical="center" textRotation="0" indent="0" justifyLastLine="0" shrinkToFit="0" readingOrder="0"/>
      <protection locked="0" hidden="0"/>
    </dxf>
    <dxf>
      <font>
        <b val="0"/>
        <i val="0"/>
        <strike val="0"/>
        <condense val="0"/>
        <extend val="0"/>
        <outline val="0"/>
        <shadow val="0"/>
        <u val="none"/>
        <vertAlign val="baseline"/>
        <sz val="8"/>
        <color theme="0"/>
        <name val="Dialog"/>
        <scheme val="none"/>
      </font>
      <numFmt numFmtId="0" formatCode="General"/>
      <fill>
        <patternFill patternType="solid">
          <fgColor indexed="64"/>
          <bgColor theme="3" tint="0.39997558519241921"/>
        </patternFill>
      </fill>
      <alignment horizontal="left" vertical="center" textRotation="0" indent="0" justifyLastLine="0" shrinkToFit="0" readingOrder="0"/>
      <protection locked="1" hidden="0"/>
    </dxf>
    <dxf>
      <font>
        <b val="0"/>
        <i val="0"/>
        <strike val="0"/>
        <condense val="0"/>
        <extend val="0"/>
        <outline val="0"/>
        <shadow val="0"/>
        <u val="none"/>
        <vertAlign val="baseline"/>
        <sz val="8"/>
        <color rgb="FF000000"/>
        <name val="Dialog"/>
        <scheme val="none"/>
      </font>
      <alignment horizontal="left" vertical="center" textRotation="0" indent="0" justifyLastLine="0" shrinkToFit="0" readingOrder="0"/>
      <protection locked="0" hidden="0"/>
    </dxf>
    <dxf>
      <font>
        <b val="0"/>
        <i val="0"/>
        <strike val="0"/>
        <condense val="0"/>
        <extend val="0"/>
        <outline val="0"/>
        <shadow val="0"/>
        <u val="none"/>
        <vertAlign val="baseline"/>
        <sz val="8"/>
        <color theme="0"/>
        <name val="Dialog"/>
        <scheme val="none"/>
      </font>
      <alignment horizontal="left" vertical="center" textRotation="0" indent="0" justifyLastLine="0" shrinkToFit="0" readingOrder="0"/>
      <protection locked="0" hidden="0"/>
    </dxf>
    <dxf>
      <font>
        <b val="0"/>
        <i val="0"/>
        <strike val="0"/>
        <condense val="0"/>
        <extend val="0"/>
        <outline val="0"/>
        <shadow val="0"/>
        <u val="none"/>
        <vertAlign val="baseline"/>
        <sz val="8"/>
        <color rgb="FF000000"/>
        <name val="Dialog"/>
        <scheme val="none"/>
      </font>
      <numFmt numFmtId="30" formatCode="@"/>
      <alignment horizontal="left" vertical="center" textRotation="0" wrapText="0" indent="0" justifyLastLine="0" shrinkToFit="0" readingOrder="0"/>
      <protection locked="0" hidden="0"/>
    </dxf>
    <dxf>
      <font>
        <b val="0"/>
        <i val="0"/>
        <strike val="0"/>
        <condense val="0"/>
        <extend val="0"/>
        <outline val="0"/>
        <shadow val="0"/>
        <u val="none"/>
        <vertAlign val="baseline"/>
        <sz val="8"/>
        <color rgb="FF000000"/>
        <name val="Dialog"/>
        <scheme val="none"/>
      </font>
      <numFmt numFmtId="30" formatCode="@"/>
      <alignment horizontal="left" vertical="center" textRotation="0" wrapText="0" indent="0" justifyLastLine="0" shrinkToFit="0" readingOrder="0"/>
      <protection locked="0" hidden="0"/>
    </dxf>
    <dxf>
      <font>
        <b val="0"/>
        <i val="0"/>
        <strike val="0"/>
        <condense val="0"/>
        <extend val="0"/>
        <outline val="0"/>
        <shadow val="0"/>
        <u val="none"/>
        <vertAlign val="baseline"/>
        <sz val="8"/>
        <color rgb="FF000000"/>
        <name val="Dialog"/>
        <scheme val="none"/>
      </font>
      <numFmt numFmtId="30" formatCode="@"/>
      <alignment horizontal="left" vertical="center" textRotation="0" wrapText="0" indent="0" justifyLastLine="0" shrinkToFit="0" readingOrder="0"/>
      <protection locked="0" hidden="0"/>
    </dxf>
    <dxf>
      <font>
        <b val="0"/>
        <i val="0"/>
        <strike val="0"/>
        <condense val="0"/>
        <extend val="0"/>
        <outline val="0"/>
        <shadow val="0"/>
        <u val="none"/>
        <vertAlign val="baseline"/>
        <sz val="8"/>
        <color rgb="FF000000"/>
        <name val="Dialog"/>
        <scheme val="none"/>
      </font>
      <numFmt numFmtId="30" formatCode="@"/>
      <alignment horizontal="left" vertical="center" textRotation="0" wrapText="0" indent="0" justifyLastLine="0" shrinkToFit="0" readingOrder="0"/>
      <protection locked="0" hidden="0"/>
    </dxf>
    <dxf>
      <font>
        <b val="0"/>
        <i val="0"/>
        <strike val="0"/>
        <condense val="0"/>
        <extend val="0"/>
        <outline val="0"/>
        <shadow val="0"/>
        <u val="none"/>
        <vertAlign val="baseline"/>
        <sz val="8"/>
        <color rgb="FF000000"/>
        <name val="Dialog"/>
        <scheme val="none"/>
      </font>
      <numFmt numFmtId="30" formatCode="@"/>
      <alignment horizontal="left" vertical="center" textRotation="0" wrapText="0" indent="0" justifyLastLine="0" shrinkToFit="0" readingOrder="0"/>
      <protection locked="0" hidden="0"/>
    </dxf>
    <dxf>
      <font>
        <b val="0"/>
        <i val="0"/>
        <strike val="0"/>
        <condense val="0"/>
        <extend val="0"/>
        <outline val="0"/>
        <shadow val="0"/>
        <u val="none"/>
        <vertAlign val="baseline"/>
        <sz val="8"/>
        <color rgb="FF000000"/>
        <name val="Dialog"/>
        <scheme val="none"/>
      </font>
      <numFmt numFmtId="30" formatCode="@"/>
      <alignment horizontal="left" vertical="center" textRotation="0" wrapText="1" indent="0" justifyLastLine="0" shrinkToFit="0" readingOrder="0"/>
      <protection locked="0" hidden="0"/>
    </dxf>
    <dxf>
      <font>
        <b val="0"/>
        <i val="0"/>
        <strike val="0"/>
        <condense val="0"/>
        <extend val="0"/>
        <outline val="0"/>
        <shadow val="0"/>
        <u val="none"/>
        <vertAlign val="baseline"/>
        <sz val="8"/>
        <color rgb="FF000000"/>
        <name val="Dialog"/>
        <scheme val="none"/>
      </font>
      <numFmt numFmtId="30" formatCode="@"/>
      <alignment horizontal="left" vertical="center" textRotation="0" wrapText="0" indent="0" justifyLastLine="0" shrinkToFit="0" readingOrder="0"/>
      <protection locked="0" hidden="0"/>
    </dxf>
    <dxf>
      <font>
        <b val="0"/>
        <i val="0"/>
        <strike val="0"/>
        <condense val="0"/>
        <extend val="0"/>
        <outline val="0"/>
        <shadow val="0"/>
        <u val="none"/>
        <vertAlign val="baseline"/>
        <sz val="8"/>
        <color rgb="FF000000"/>
        <name val="Dialog"/>
        <scheme val="none"/>
      </font>
      <numFmt numFmtId="30" formatCode="@"/>
      <alignment horizontal="left" vertical="center" textRotation="0" wrapText="0" indent="0" justifyLastLine="0" shrinkToFit="0" readingOrder="0"/>
      <protection locked="0" hidden="0"/>
    </dxf>
    <dxf>
      <font>
        <b val="0"/>
        <i val="0"/>
        <strike val="0"/>
        <condense val="0"/>
        <extend val="0"/>
        <outline val="0"/>
        <shadow val="0"/>
        <u val="none"/>
        <vertAlign val="baseline"/>
        <sz val="8"/>
        <color rgb="FF000000"/>
        <name val="Dialog"/>
        <scheme val="none"/>
      </font>
      <numFmt numFmtId="30" formatCode="@"/>
      <alignment horizontal="left" vertical="center" textRotation="0" wrapText="0" indent="0" justifyLastLine="0" shrinkToFit="0" readingOrder="0"/>
      <protection locked="0" hidden="0"/>
    </dxf>
    <dxf>
      <font>
        <b val="0"/>
        <i val="0"/>
        <strike val="0"/>
        <condense val="0"/>
        <extend val="0"/>
        <outline val="0"/>
        <shadow val="0"/>
        <u val="none"/>
        <vertAlign val="baseline"/>
        <sz val="8"/>
        <color rgb="FF000000"/>
        <name val="Dialog"/>
        <scheme val="none"/>
      </font>
      <numFmt numFmtId="165" formatCode="yyyy\-mm\-dd"/>
      <alignment horizontal="left" vertical="center" textRotation="0" wrapText="0" indent="0" justifyLastLine="0" shrinkToFit="0" readingOrder="0"/>
      <protection locked="0" hidden="0"/>
    </dxf>
    <dxf>
      <font>
        <b val="0"/>
        <i val="0"/>
        <strike val="0"/>
        <condense val="0"/>
        <extend val="0"/>
        <outline val="0"/>
        <shadow val="0"/>
        <u val="none"/>
        <vertAlign val="baseline"/>
        <sz val="8"/>
        <color rgb="FF000000"/>
        <name val="Dialog"/>
        <scheme val="none"/>
      </font>
      <numFmt numFmtId="165" formatCode="yyyy\-mm\-dd"/>
      <alignment horizontal="left" vertical="center" textRotation="0" wrapText="0" indent="0" justifyLastLine="0" shrinkToFit="0" readingOrder="0"/>
      <protection locked="0" hidden="0"/>
    </dxf>
    <dxf>
      <font>
        <b val="0"/>
        <i val="0"/>
        <strike val="0"/>
        <condense val="0"/>
        <extend val="0"/>
        <outline val="0"/>
        <shadow val="0"/>
        <u val="none"/>
        <vertAlign val="baseline"/>
        <sz val="8"/>
        <color rgb="FF000000"/>
        <name val="Dialog"/>
        <scheme val="none"/>
      </font>
      <numFmt numFmtId="30" formatCode="@"/>
      <alignment horizontal="left" vertical="center" textRotation="0" wrapText="1" indent="0" justifyLastLine="0" shrinkToFit="0" readingOrder="0"/>
      <protection locked="0" hidden="0"/>
    </dxf>
    <dxf>
      <font>
        <b val="0"/>
        <i val="0"/>
        <strike val="0"/>
        <condense val="0"/>
        <extend val="0"/>
        <outline val="0"/>
        <shadow val="0"/>
        <u val="none"/>
        <vertAlign val="baseline"/>
        <sz val="8"/>
        <color rgb="FF000000"/>
        <name val="Dialog"/>
        <scheme val="none"/>
      </font>
      <numFmt numFmtId="30" formatCode="@"/>
      <alignment horizontal="left" vertical="center" textRotation="0" wrapText="0" indent="0" justifyLastLine="0" shrinkToFit="0" readingOrder="0"/>
      <protection locked="0" hidden="0"/>
    </dxf>
    <dxf>
      <font>
        <b val="0"/>
        <i val="0"/>
        <strike val="0"/>
        <condense val="0"/>
        <extend val="0"/>
        <outline val="0"/>
        <shadow val="0"/>
        <u val="none"/>
        <vertAlign val="baseline"/>
        <sz val="8"/>
        <color theme="0"/>
        <name val="Dialog"/>
        <scheme val="none"/>
      </font>
      <numFmt numFmtId="0" formatCode="General"/>
      <fill>
        <patternFill patternType="solid">
          <fgColor indexed="64"/>
          <bgColor theme="3" tint="0.39997558519241921"/>
        </patternFill>
      </fill>
      <alignment horizontal="left" vertical="center" textRotation="0" wrapText="0" indent="0" justifyLastLine="0" shrinkToFit="0" readingOrder="0"/>
      <protection locked="1" hidden="0"/>
    </dxf>
    <dxf>
      <font>
        <b val="0"/>
        <i val="0"/>
        <strike val="0"/>
        <condense val="0"/>
        <extend val="0"/>
        <outline val="0"/>
        <shadow val="0"/>
        <u val="none"/>
        <vertAlign val="baseline"/>
        <sz val="8"/>
        <color rgb="FF000000"/>
        <name val="Dialog"/>
        <scheme val="none"/>
      </font>
      <alignment horizontal="left" vertical="center" textRotation="0" wrapText="0" indent="0" justifyLastLine="0" shrinkToFit="0" readingOrder="0"/>
      <protection locked="0" hidden="0"/>
    </dxf>
    <dxf>
      <font>
        <b val="0"/>
        <i val="0"/>
        <strike val="0"/>
        <condense val="0"/>
        <extend val="0"/>
        <outline val="0"/>
        <shadow val="0"/>
        <u val="none"/>
        <vertAlign val="baseline"/>
        <sz val="8"/>
        <color rgb="FF000000"/>
        <name val="Dialog"/>
        <scheme val="none"/>
      </font>
      <alignment horizontal="left" vertical="center" textRotation="0" wrapText="0" indent="0" justifyLastLine="0" shrinkToFit="0" readingOrder="0"/>
      <protection locked="0" hidden="0"/>
    </dxf>
    <dxf>
      <font>
        <b val="0"/>
        <i val="0"/>
        <strike val="0"/>
        <condense val="0"/>
        <extend val="0"/>
        <outline val="0"/>
        <shadow val="0"/>
        <u val="none"/>
        <vertAlign val="baseline"/>
        <sz val="8"/>
        <color rgb="FF000000"/>
        <name val="Dialog"/>
        <scheme val="none"/>
      </font>
      <numFmt numFmtId="30" formatCode="@"/>
      <alignment horizontal="left" vertical="center" textRotation="0" wrapText="0" indent="0" justifyLastLine="0" shrinkToFit="0" readingOrder="0"/>
      <protection locked="0" hidden="0"/>
    </dxf>
    <dxf>
      <font>
        <b val="0"/>
        <i val="0"/>
        <strike val="0"/>
        <condense val="0"/>
        <extend val="0"/>
        <outline val="0"/>
        <shadow val="0"/>
        <u val="none"/>
        <vertAlign val="baseline"/>
        <sz val="8"/>
        <color rgb="FF000000"/>
        <name val="Dialog"/>
        <scheme val="none"/>
      </font>
      <numFmt numFmtId="30" formatCode="@"/>
      <alignment horizontal="left" vertical="center" textRotation="0" indent="0" justifyLastLine="0" shrinkToFit="0" readingOrder="0"/>
      <protection locked="0" hidden="0"/>
    </dxf>
    <dxf>
      <font>
        <b val="0"/>
        <i val="0"/>
        <strike val="0"/>
        <condense val="0"/>
        <extend val="0"/>
        <outline val="0"/>
        <shadow val="0"/>
        <u val="none"/>
        <vertAlign val="baseline"/>
        <sz val="8"/>
        <color rgb="FF000000"/>
        <name val="Dialog"/>
        <scheme val="none"/>
      </font>
      <numFmt numFmtId="30" formatCode="@"/>
      <alignment horizontal="left" vertical="center" textRotation="0" indent="0" justifyLastLine="0" shrinkToFit="0" readingOrder="0"/>
      <protection locked="0" hidden="0"/>
    </dxf>
    <dxf>
      <font>
        <b val="0"/>
        <i val="0"/>
        <strike val="0"/>
        <condense val="0"/>
        <extend val="0"/>
        <outline val="0"/>
        <shadow val="0"/>
        <u/>
        <vertAlign val="baseline"/>
        <sz val="8"/>
        <color indexed="12"/>
        <name val="Dialog"/>
        <scheme val="none"/>
      </font>
      <alignment horizontal="left" vertical="center" textRotation="0" indent="0" justifyLastLine="0" shrinkToFit="0" readingOrder="0"/>
      <protection locked="0" hidden="0"/>
    </dxf>
    <dxf>
      <font>
        <b val="0"/>
        <i val="0"/>
        <strike val="0"/>
        <condense val="0"/>
        <extend val="0"/>
        <outline val="0"/>
        <shadow val="0"/>
        <u val="none"/>
        <vertAlign val="baseline"/>
        <sz val="8"/>
        <color rgb="FF000000"/>
        <name val="Dialog"/>
        <scheme val="none"/>
      </font>
      <numFmt numFmtId="30" formatCode="@"/>
      <alignment horizontal="left" vertical="center" textRotation="0" wrapText="1" indent="0" justifyLastLine="0" shrinkToFit="0" readingOrder="0"/>
      <protection locked="0" hidden="0"/>
    </dxf>
    <dxf>
      <font>
        <b val="0"/>
        <i val="0"/>
        <strike val="0"/>
        <condense val="0"/>
        <extend val="0"/>
        <outline val="0"/>
        <shadow val="0"/>
        <u val="none"/>
        <vertAlign val="baseline"/>
        <sz val="8"/>
        <color rgb="FF000000"/>
        <name val="Dialog"/>
        <scheme val="none"/>
      </font>
      <numFmt numFmtId="30" formatCode="@"/>
      <alignment horizontal="left" vertical="center" textRotation="0" wrapText="1" indent="0" justifyLastLine="0" shrinkToFit="0" readingOrder="0"/>
      <protection locked="0" hidden="0"/>
    </dxf>
    <dxf>
      <font>
        <b val="0"/>
        <i val="0"/>
        <strike val="0"/>
        <condense val="0"/>
        <extend val="0"/>
        <outline val="0"/>
        <shadow val="0"/>
        <u val="none"/>
        <vertAlign val="baseline"/>
        <sz val="8"/>
        <color rgb="FF000000"/>
        <name val="Dialog"/>
        <scheme val="none"/>
      </font>
      <numFmt numFmtId="30" formatCode="@"/>
      <alignment horizontal="left" vertical="center" textRotation="0" indent="0" justifyLastLine="0" shrinkToFit="0" readingOrder="0"/>
      <protection locked="0" hidden="0"/>
    </dxf>
    <dxf>
      <font>
        <b val="0"/>
        <i val="0"/>
        <strike val="0"/>
        <condense val="0"/>
        <extend val="0"/>
        <outline val="0"/>
        <shadow val="0"/>
        <u val="none"/>
        <vertAlign val="baseline"/>
        <sz val="8"/>
        <color theme="0"/>
        <name val="Dialog"/>
        <scheme val="none"/>
      </font>
      <numFmt numFmtId="0" formatCode="General"/>
      <fill>
        <patternFill patternType="solid">
          <fgColor indexed="64"/>
          <bgColor theme="3" tint="0.39997558519241921"/>
        </patternFill>
      </fill>
      <alignment horizontal="left" vertical="center" textRotation="0" wrapText="0" indent="0" justifyLastLine="0" shrinkToFit="0" readingOrder="0"/>
      <protection locked="1" hidden="0"/>
    </dxf>
    <dxf>
      <font>
        <b val="0"/>
        <i val="0"/>
        <strike val="0"/>
        <condense val="0"/>
        <extend val="0"/>
        <outline val="0"/>
        <shadow val="0"/>
        <u val="none"/>
        <vertAlign val="baseline"/>
        <sz val="8"/>
        <color rgb="FF000000"/>
        <name val="Dialog"/>
        <scheme val="none"/>
      </font>
      <alignment horizontal="left" vertical="center" textRotation="0" indent="0" justifyLastLine="0" shrinkToFit="0" readingOrder="0"/>
      <protection locked="0" hidden="0"/>
    </dxf>
    <dxf>
      <font>
        <b val="0"/>
        <i val="0"/>
        <strike val="0"/>
        <condense val="0"/>
        <extend val="0"/>
        <outline val="0"/>
        <shadow val="0"/>
        <u val="none"/>
        <vertAlign val="baseline"/>
        <sz val="8"/>
        <color rgb="FF000000"/>
        <name val="Dialog"/>
        <scheme val="none"/>
      </font>
      <alignment horizontal="left" vertical="center" textRotation="0" indent="0" justifyLastLine="0" shrinkToFit="0" readingOrder="0"/>
      <protection locked="0" hidden="0"/>
    </dxf>
    <dxf>
      <font>
        <strike val="0"/>
        <outline val="0"/>
        <shadow val="0"/>
        <u val="none"/>
        <vertAlign val="baseline"/>
        <sz val="8"/>
        <color theme="0"/>
        <name val="Dialog"/>
        <scheme val="none"/>
      </font>
      <numFmt numFmtId="0" formatCode="General"/>
      <fill>
        <patternFill patternType="solid">
          <fgColor indexed="64"/>
          <bgColor theme="3" tint="0.39997558519241921"/>
        </patternFill>
      </fill>
      <alignment horizontal="left" vertical="center" textRotation="0" wrapText="0" indent="0" justifyLastLine="0" shrinkToFit="0" readingOrder="0"/>
      <protection locked="1" hidden="0"/>
    </dxf>
    <dxf>
      <font>
        <strike val="0"/>
        <outline val="0"/>
        <shadow val="0"/>
        <u val="none"/>
        <vertAlign val="baseline"/>
        <sz val="8"/>
        <color theme="0"/>
        <name val="Dialog"/>
        <scheme val="none"/>
      </font>
      <numFmt numFmtId="0" formatCode="General"/>
      <fill>
        <patternFill patternType="solid">
          <fgColor indexed="64"/>
          <bgColor theme="3" tint="0.39997558519241921"/>
        </patternFill>
      </fill>
      <alignment horizontal="left" vertical="center" textRotation="0" wrapText="0" indent="0" justifyLastLine="0" shrinkToFit="0" readingOrder="0"/>
      <protection locked="1" hidden="0"/>
    </dxf>
    <dxf>
      <font>
        <strike val="0"/>
        <outline val="0"/>
        <shadow val="0"/>
        <u val="none"/>
        <vertAlign val="baseline"/>
        <sz val="8"/>
        <color theme="1"/>
        <name val="Dialog"/>
        <scheme val="none"/>
      </font>
      <alignment horizontal="left" vertical="center" textRotation="0" wrapText="0" indent="0" justifyLastLine="0" shrinkToFit="0" readingOrder="0"/>
      <protection locked="0" hidden="0"/>
    </dxf>
    <dxf>
      <font>
        <strike val="0"/>
        <outline val="0"/>
        <shadow val="0"/>
        <u val="none"/>
        <vertAlign val="baseline"/>
        <sz val="8"/>
        <color theme="1"/>
        <name val="Dialog"/>
        <scheme val="none"/>
      </font>
      <alignment horizontal="left" vertical="center" textRotation="0" wrapText="0" indent="0" justifyLastLine="0" shrinkToFit="0" readingOrder="0"/>
      <protection locked="0" hidden="0"/>
    </dxf>
    <dxf>
      <font>
        <strike val="0"/>
        <outline val="0"/>
        <shadow val="0"/>
        <u val="none"/>
        <vertAlign val="baseline"/>
        <sz val="8"/>
        <color theme="1"/>
        <name val="Dialog"/>
        <scheme val="none"/>
      </font>
      <alignment horizontal="left" vertical="center" textRotation="0" wrapText="0" indent="0" justifyLastLine="0" shrinkToFit="0" readingOrder="0"/>
      <protection locked="0" hidden="0"/>
    </dxf>
    <dxf>
      <font>
        <strike val="0"/>
        <outline val="0"/>
        <shadow val="0"/>
        <u val="none"/>
        <vertAlign val="baseline"/>
        <sz val="8"/>
        <color theme="1"/>
        <name val="Dialog"/>
        <scheme val="none"/>
      </font>
      <alignment horizontal="left" vertical="center" textRotation="0" wrapText="0" indent="0" justifyLastLine="0" shrinkToFit="0" readingOrder="0"/>
      <protection locked="0" hidden="0"/>
    </dxf>
    <dxf>
      <font>
        <strike val="0"/>
        <outline val="0"/>
        <shadow val="0"/>
        <u val="none"/>
        <vertAlign val="baseline"/>
        <sz val="8"/>
        <color theme="1"/>
        <name val="Dialog"/>
        <scheme val="none"/>
      </font>
      <alignment horizontal="left" vertical="center" textRotation="0" wrapText="0" indent="0" justifyLastLine="0" shrinkToFit="0" readingOrder="0"/>
      <protection locked="0" hidden="0"/>
    </dxf>
    <dxf>
      <font>
        <strike val="0"/>
        <outline val="0"/>
        <shadow val="0"/>
        <u val="none"/>
        <vertAlign val="baseline"/>
        <sz val="8"/>
        <color theme="1"/>
        <name val="Dialog"/>
        <scheme val="none"/>
      </font>
      <alignment horizontal="left" vertical="center" textRotation="0" wrapText="0" indent="0" justifyLastLine="0" shrinkToFit="0" readingOrder="0"/>
      <protection locked="0" hidden="0"/>
    </dxf>
    <dxf>
      <font>
        <strike val="0"/>
        <outline val="0"/>
        <shadow val="0"/>
        <u val="none"/>
        <vertAlign val="baseline"/>
        <sz val="8"/>
        <color theme="1"/>
        <name val="Dialog"/>
        <scheme val="none"/>
      </font>
      <alignment horizontal="left" vertical="center" textRotation="0" wrapText="0" indent="0" justifyLastLine="0" shrinkToFit="0" readingOrder="0"/>
      <protection locked="0" hidden="0"/>
    </dxf>
    <dxf>
      <font>
        <strike val="0"/>
        <outline val="0"/>
        <shadow val="0"/>
        <u val="none"/>
        <vertAlign val="baseline"/>
        <sz val="8"/>
        <color theme="1"/>
        <name val="Dialog"/>
        <scheme val="none"/>
      </font>
      <alignment horizontal="left" vertical="center" textRotation="0" wrapText="0" indent="0" justifyLastLine="0" shrinkToFit="0" readingOrder="0"/>
      <protection locked="0" hidden="0"/>
    </dxf>
    <dxf>
      <font>
        <strike val="0"/>
        <outline val="0"/>
        <shadow val="0"/>
        <u val="none"/>
        <vertAlign val="baseline"/>
        <sz val="8"/>
        <color theme="1"/>
        <name val="Dialog"/>
        <scheme val="none"/>
      </font>
      <alignment horizontal="left" vertical="center" textRotation="0" wrapText="0" indent="0" justifyLastLine="0" shrinkToFit="0" readingOrder="0"/>
      <protection locked="0" hidden="0"/>
    </dxf>
    <dxf>
      <font>
        <strike val="0"/>
        <outline val="0"/>
        <shadow val="0"/>
        <u val="none"/>
        <vertAlign val="baseline"/>
        <sz val="8"/>
        <color theme="1"/>
        <name val="Dialog"/>
        <scheme val="none"/>
      </font>
      <alignment horizontal="left" vertical="center" textRotation="0" wrapText="0" indent="0" justifyLastLine="0" shrinkToFit="0" readingOrder="0"/>
      <protection locked="0" hidden="0"/>
    </dxf>
    <dxf>
      <font>
        <strike val="0"/>
        <outline val="0"/>
        <shadow val="0"/>
        <u val="none"/>
        <vertAlign val="baseline"/>
        <sz val="8"/>
        <color theme="0"/>
        <name val="Dialog"/>
        <scheme val="none"/>
      </font>
      <numFmt numFmtId="0" formatCode="General"/>
      <fill>
        <patternFill patternType="solid">
          <fgColor indexed="64"/>
          <bgColor theme="3" tint="0.39997558519241921"/>
        </patternFill>
      </fill>
      <alignment horizontal="left" vertical="center" textRotation="0" wrapText="0" indent="0" justifyLastLine="0" shrinkToFit="0" readingOrder="0"/>
      <protection locked="1" hidden="0"/>
    </dxf>
    <dxf>
      <font>
        <strike val="0"/>
        <outline val="0"/>
        <shadow val="0"/>
        <u val="none"/>
        <vertAlign val="baseline"/>
        <sz val="8"/>
        <color theme="1"/>
        <name val="Dialog"/>
        <scheme val="none"/>
      </font>
      <alignment horizontal="left" vertical="center" textRotation="0" wrapText="0" indent="0" justifyLastLine="0" shrinkToFit="0" readingOrder="0"/>
      <protection locked="0" hidden="0"/>
    </dxf>
    <dxf>
      <font>
        <strike val="0"/>
        <outline val="0"/>
        <shadow val="0"/>
        <u val="none"/>
        <vertAlign val="baseline"/>
        <sz val="8"/>
        <color auto="1"/>
        <name val="Dialog"/>
        <scheme val="none"/>
      </font>
      <alignment horizontal="left" vertical="center" textRotation="0" wrapText="0" indent="0" justifyLastLine="0" shrinkToFit="0" readingOrder="0"/>
      <protection locked="0" hidden="0"/>
    </dxf>
    <dxf>
      <font>
        <strike val="0"/>
        <outline val="0"/>
        <shadow val="0"/>
        <u val="none"/>
        <vertAlign val="baseline"/>
        <sz val="8"/>
        <color theme="0"/>
        <name val="Dialog"/>
        <scheme val="none"/>
      </font>
      <numFmt numFmtId="0" formatCode="General"/>
      <fill>
        <patternFill patternType="solid">
          <fgColor indexed="64"/>
          <bgColor theme="3" tint="0.39997558519241921"/>
        </patternFill>
      </fill>
      <alignment horizontal="left" vertical="center" textRotation="0" wrapText="0" indent="0" justifyLastLine="0" shrinkToFit="0" readingOrder="0"/>
      <protection locked="1" hidden="0"/>
    </dxf>
    <dxf>
      <font>
        <strike val="0"/>
        <outline val="0"/>
        <shadow val="0"/>
        <u val="none"/>
        <vertAlign val="baseline"/>
        <sz val="8"/>
        <color theme="0"/>
        <name val="Dialog"/>
        <scheme val="none"/>
      </font>
      <numFmt numFmtId="0" formatCode="General"/>
      <fill>
        <patternFill patternType="solid">
          <fgColor indexed="64"/>
          <bgColor theme="3" tint="0.39997558519241921"/>
        </patternFill>
      </fill>
      <alignment horizontal="left" vertical="center" textRotation="0" wrapText="0" indent="0" justifyLastLine="0" shrinkToFit="0" readingOrder="0"/>
      <protection locked="1" hidden="0"/>
    </dxf>
    <dxf>
      <font>
        <strike val="0"/>
        <outline val="0"/>
        <shadow val="0"/>
        <u val="none"/>
        <vertAlign val="baseline"/>
        <sz val="8"/>
        <color theme="1"/>
        <name val="Dialog"/>
        <scheme val="none"/>
      </font>
      <fill>
        <patternFill patternType="none">
          <fgColor indexed="64"/>
          <bgColor auto="1"/>
        </patternFill>
      </fill>
      <alignment horizontal="left" vertical="center" textRotation="0" wrapText="0" indent="0" justifyLastLine="0" shrinkToFit="0" readingOrder="0"/>
      <protection locked="0" hidden="0"/>
    </dxf>
    <dxf>
      <font>
        <strike val="0"/>
        <outline val="0"/>
        <shadow val="0"/>
        <u val="none"/>
        <vertAlign val="baseline"/>
        <sz val="8"/>
        <color theme="0"/>
        <name val="Dialog"/>
        <scheme val="none"/>
      </font>
      <numFmt numFmtId="0" formatCode="General"/>
      <fill>
        <patternFill patternType="solid">
          <fgColor indexed="64"/>
          <bgColor theme="3" tint="0.39997558519241921"/>
        </patternFill>
      </fill>
      <alignment horizontal="left" vertical="center" textRotation="0" wrapText="0" indent="0" justifyLastLine="0" shrinkToFit="0" readingOrder="0"/>
      <protection locked="1" hidden="0"/>
    </dxf>
    <dxf>
      <font>
        <strike val="0"/>
        <outline val="0"/>
        <shadow val="0"/>
        <u val="none"/>
        <vertAlign val="baseline"/>
        <sz val="8"/>
        <color theme="1"/>
        <name val="Dialog"/>
        <scheme val="none"/>
      </font>
      <alignment horizontal="left" vertical="center" textRotation="0" wrapText="0" indent="0" justifyLastLine="0" shrinkToFit="0" readingOrder="0"/>
      <protection locked="0" hidden="0"/>
    </dxf>
    <dxf>
      <font>
        <strike val="0"/>
        <outline val="0"/>
        <shadow val="0"/>
        <u val="none"/>
        <vertAlign val="baseline"/>
        <sz val="8"/>
        <color theme="1"/>
        <name val="Dialog"/>
        <scheme val="none"/>
      </font>
      <alignment horizontal="left" vertical="center" textRotation="0" wrapText="0" indent="0" justifyLastLine="0" shrinkToFit="0" readingOrder="0"/>
      <protection locked="0" hidden="0"/>
    </dxf>
    <dxf>
      <font>
        <strike val="0"/>
        <outline val="0"/>
        <shadow val="0"/>
        <u val="none"/>
        <vertAlign val="baseline"/>
        <sz val="8"/>
        <color theme="1"/>
        <name val="Dialog"/>
        <scheme val="none"/>
      </font>
      <alignment horizontal="left" vertical="center" textRotation="0" wrapText="0" indent="0" justifyLastLine="0" shrinkToFit="0" readingOrder="0"/>
      <protection locked="0" hidden="0"/>
    </dxf>
    <dxf>
      <font>
        <strike val="0"/>
        <outline val="0"/>
        <shadow val="0"/>
        <u val="none"/>
        <vertAlign val="baseline"/>
        <sz val="8"/>
        <color theme="1"/>
        <name val="Dialog"/>
        <scheme val="none"/>
      </font>
      <alignment horizontal="left" vertical="center" textRotation="0" wrapText="0" indent="0" justifyLastLine="0" shrinkToFit="0" readingOrder="0"/>
      <protection locked="0" hidden="0"/>
    </dxf>
    <dxf>
      <font>
        <strike val="0"/>
        <outline val="0"/>
        <shadow val="0"/>
        <u val="none"/>
        <vertAlign val="baseline"/>
        <sz val="8"/>
        <color theme="1"/>
        <name val="Dialog"/>
        <scheme val="none"/>
      </font>
      <alignment horizontal="left" vertical="center" textRotation="0" wrapText="0" indent="0" justifyLastLine="0" shrinkToFit="0" readingOrder="0"/>
      <protection locked="0" hidden="0"/>
    </dxf>
    <dxf>
      <font>
        <strike val="0"/>
        <outline val="0"/>
        <shadow val="0"/>
        <u val="none"/>
        <vertAlign val="baseline"/>
        <sz val="8"/>
        <color theme="0"/>
        <name val="Dialog"/>
        <scheme val="none"/>
      </font>
      <numFmt numFmtId="0" formatCode="General"/>
      <fill>
        <patternFill patternType="solid">
          <fgColor indexed="64"/>
          <bgColor theme="3" tint="0.39997558519241921"/>
        </patternFill>
      </fill>
      <alignment horizontal="left" vertical="center" textRotation="0" wrapText="0" indent="0" justifyLastLine="0" shrinkToFit="0" readingOrder="0"/>
      <protection locked="1" hidden="0"/>
    </dxf>
    <dxf>
      <font>
        <strike val="0"/>
        <outline val="0"/>
        <shadow val="0"/>
        <u val="none"/>
        <vertAlign val="baseline"/>
        <sz val="8"/>
        <color theme="1"/>
        <name val="Dialog"/>
        <scheme val="none"/>
      </font>
      <alignment horizontal="left" vertical="center" textRotation="0" wrapText="0" indent="0" justifyLastLine="0" shrinkToFit="0" readingOrder="0"/>
      <protection locked="0" hidden="0"/>
    </dxf>
    <dxf>
      <font>
        <strike val="0"/>
        <outline val="0"/>
        <shadow val="0"/>
        <u val="none"/>
        <vertAlign val="baseline"/>
        <sz val="8"/>
        <color auto="1"/>
        <name val="Dialog"/>
        <scheme val="none"/>
      </font>
      <alignment horizontal="left" vertical="center" textRotation="0" wrapText="0" indent="0" justifyLastLine="0" shrinkToFit="0" readingOrder="0"/>
      <protection locked="0" hidden="0"/>
    </dxf>
    <dxf>
      <font>
        <strike val="0"/>
        <outline val="0"/>
        <shadow val="0"/>
        <u val="none"/>
        <vertAlign val="baseline"/>
        <sz val="8"/>
        <color theme="1"/>
        <name val="Dialog"/>
        <scheme val="none"/>
      </font>
      <alignment horizontal="left" vertical="center" textRotation="0" indent="0" justifyLastLine="0" shrinkToFit="0" readingOrder="0"/>
      <protection locked="0" hidden="0"/>
    </dxf>
    <dxf>
      <font>
        <b val="0"/>
        <i val="0"/>
        <strike val="0"/>
        <condense val="0"/>
        <extend val="0"/>
        <outline val="0"/>
        <shadow val="0"/>
        <u val="none"/>
        <vertAlign val="baseline"/>
        <sz val="8"/>
        <color theme="1"/>
        <name val="Dialog"/>
        <scheme val="none"/>
      </font>
      <alignment horizontal="left" vertical="center" textRotation="0" wrapText="0" indent="0" justifyLastLine="0" shrinkToFit="0" readingOrder="0"/>
      <protection locked="0" hidden="0"/>
    </dxf>
    <dxf>
      <font>
        <b val="0"/>
        <i val="0"/>
        <strike val="0"/>
        <condense val="0"/>
        <extend val="0"/>
        <outline val="0"/>
        <shadow val="0"/>
        <u val="none"/>
        <vertAlign val="baseline"/>
        <sz val="8"/>
        <color theme="1"/>
        <name val="Dialog"/>
        <scheme val="none"/>
      </font>
      <alignment horizontal="left" vertical="center" textRotation="0" wrapText="0" indent="0" justifyLastLine="0" shrinkToFit="0" readingOrder="0"/>
      <protection locked="0" hidden="0"/>
    </dxf>
    <dxf>
      <font>
        <b val="0"/>
        <i val="0"/>
        <strike val="0"/>
        <condense val="0"/>
        <extend val="0"/>
        <outline val="0"/>
        <shadow val="0"/>
        <u val="none"/>
        <vertAlign val="baseline"/>
        <sz val="8"/>
        <color theme="1"/>
        <name val="Dialog"/>
        <scheme val="none"/>
      </font>
      <alignment horizontal="left" vertical="center" textRotation="0" wrapText="0" indent="0" justifyLastLine="0" shrinkToFit="0" readingOrder="0"/>
      <protection locked="0" hidden="0"/>
    </dxf>
    <dxf>
      <font>
        <b val="0"/>
        <i val="0"/>
        <strike val="0"/>
        <condense val="0"/>
        <extend val="0"/>
        <outline val="0"/>
        <shadow val="0"/>
        <u val="none"/>
        <vertAlign val="baseline"/>
        <sz val="8"/>
        <color theme="1"/>
        <name val="Dialog"/>
        <scheme val="none"/>
      </font>
      <alignment horizontal="left" vertical="center" textRotation="0" wrapText="0" indent="0" justifyLastLine="0" shrinkToFit="0" readingOrder="0"/>
      <protection locked="0" hidden="0"/>
    </dxf>
    <dxf>
      <font>
        <strike val="0"/>
        <outline val="0"/>
        <shadow val="0"/>
        <u val="none"/>
        <vertAlign val="baseline"/>
        <sz val="8"/>
        <color theme="1"/>
        <name val="Dialog"/>
        <scheme val="none"/>
      </font>
      <alignment horizontal="left" vertical="center" textRotation="0" indent="0" justifyLastLine="0" shrinkToFit="0" readingOrder="0"/>
      <protection locked="0" hidden="0"/>
    </dxf>
    <dxf>
      <font>
        <strike val="0"/>
        <outline val="0"/>
        <shadow val="0"/>
        <u val="none"/>
        <vertAlign val="baseline"/>
        <sz val="8"/>
        <color theme="1"/>
        <name val="Dialog"/>
        <scheme val="none"/>
      </font>
      <alignment horizontal="left" vertical="center" textRotation="0" wrapText="1" indent="0" justifyLastLine="0" shrinkToFit="0" readingOrder="0"/>
      <protection locked="0" hidden="0"/>
    </dxf>
    <dxf>
      <font>
        <strike val="0"/>
        <outline val="0"/>
        <shadow val="0"/>
        <u val="none"/>
        <vertAlign val="baseline"/>
        <sz val="8"/>
        <color theme="1"/>
        <name val="Dialog"/>
        <scheme val="none"/>
      </font>
      <alignment horizontal="left" vertical="center" textRotation="0" indent="0" justifyLastLine="0" shrinkToFit="0" readingOrder="0"/>
      <protection locked="0" hidden="0"/>
    </dxf>
    <dxf>
      <font>
        <strike val="0"/>
        <outline val="0"/>
        <shadow val="0"/>
        <u val="none"/>
        <vertAlign val="baseline"/>
        <sz val="8"/>
        <color theme="1"/>
        <name val="Dialog"/>
        <scheme val="none"/>
      </font>
      <alignment horizontal="left" vertical="center" textRotation="0" indent="0" justifyLastLine="0" shrinkToFit="0" readingOrder="0"/>
      <protection locked="0" hidden="0"/>
    </dxf>
    <dxf>
      <font>
        <strike val="0"/>
        <outline val="0"/>
        <shadow val="0"/>
        <u val="none"/>
        <vertAlign val="baseline"/>
        <sz val="8"/>
        <color theme="0"/>
        <name val="Dialog"/>
        <scheme val="none"/>
      </font>
      <numFmt numFmtId="0" formatCode="General"/>
      <fill>
        <patternFill patternType="solid">
          <fgColor indexed="64"/>
          <bgColor theme="3" tint="0.39997558519241921"/>
        </patternFill>
      </fill>
      <alignment horizontal="left" vertical="center" textRotation="0" indent="0" justifyLastLine="0" shrinkToFit="0" readingOrder="0"/>
      <protection locked="1" hidden="0"/>
    </dxf>
    <dxf>
      <font>
        <strike val="0"/>
        <outline val="0"/>
        <shadow val="0"/>
        <u val="none"/>
        <vertAlign val="baseline"/>
        <sz val="8"/>
        <color theme="1"/>
        <name val="Dialog"/>
        <scheme val="none"/>
      </font>
      <alignment horizontal="left" vertical="center" textRotation="0" indent="0" justifyLastLine="0" shrinkToFit="0" readingOrder="0"/>
      <protection locked="0" hidden="0"/>
    </dxf>
    <dxf>
      <font>
        <b val="0"/>
        <strike val="0"/>
        <outline val="0"/>
        <shadow val="0"/>
        <u val="none"/>
        <vertAlign val="baseline"/>
        <sz val="8"/>
        <color auto="1"/>
        <name val="Dialog"/>
        <scheme val="none"/>
      </font>
      <alignment horizontal="left" vertical="center" textRotation="0" indent="0" justifyLastLine="0" shrinkToFit="0" readingOrder="0"/>
      <protection locked="0" hidden="0"/>
    </dxf>
    <dxf>
      <font>
        <b val="0"/>
        <i val="0"/>
        <strike val="0"/>
        <condense val="0"/>
        <extend val="0"/>
        <outline val="0"/>
        <shadow val="0"/>
        <u val="none"/>
        <vertAlign val="baseline"/>
        <sz val="8"/>
        <color theme="1"/>
        <name val="Dialog"/>
        <scheme val="none"/>
      </font>
      <protection locked="0" hidden="0"/>
    </dxf>
    <dxf>
      <font>
        <b val="0"/>
        <i val="0"/>
        <strike val="0"/>
        <condense val="0"/>
        <extend val="0"/>
        <outline val="0"/>
        <shadow val="0"/>
        <u val="none"/>
        <vertAlign val="baseline"/>
        <sz val="8"/>
        <color theme="1"/>
        <name val="Dialog"/>
        <scheme val="none"/>
      </font>
      <protection locked="0" hidden="0"/>
    </dxf>
    <dxf>
      <font>
        <b val="0"/>
        <i val="0"/>
        <strike val="0"/>
        <condense val="0"/>
        <extend val="0"/>
        <outline val="0"/>
        <shadow val="0"/>
        <u val="none"/>
        <vertAlign val="baseline"/>
        <sz val="8"/>
        <color theme="1"/>
        <name val="Dialog"/>
        <scheme val="none"/>
      </font>
      <protection locked="0" hidden="0"/>
    </dxf>
    <dxf>
      <font>
        <b val="0"/>
        <i val="0"/>
        <strike val="0"/>
        <condense val="0"/>
        <extend val="0"/>
        <outline val="0"/>
        <shadow val="0"/>
        <u val="none"/>
        <vertAlign val="baseline"/>
        <sz val="8"/>
        <color theme="1"/>
        <name val="Dialog"/>
        <scheme val="none"/>
      </font>
      <protection locked="0" hidden="0"/>
    </dxf>
    <dxf>
      <font>
        <b val="0"/>
        <i val="0"/>
        <strike val="0"/>
        <condense val="0"/>
        <extend val="0"/>
        <outline val="0"/>
        <shadow val="0"/>
        <u val="none"/>
        <vertAlign val="baseline"/>
        <sz val="8"/>
        <color theme="1"/>
        <name val="Dialog"/>
        <scheme val="none"/>
      </font>
      <protection locked="0" hidden="0"/>
    </dxf>
    <dxf>
      <font>
        <b val="0"/>
        <i val="0"/>
        <strike val="0"/>
        <condense val="0"/>
        <extend val="0"/>
        <outline val="0"/>
        <shadow val="0"/>
        <u val="none"/>
        <vertAlign val="baseline"/>
        <sz val="8"/>
        <color theme="1"/>
        <name val="Dialog"/>
        <scheme val="none"/>
      </font>
      <protection locked="0" hidden="0"/>
    </dxf>
    <dxf>
      <font>
        <b val="0"/>
        <i val="0"/>
        <strike val="0"/>
        <condense val="0"/>
        <extend val="0"/>
        <outline val="0"/>
        <shadow val="0"/>
        <u val="none"/>
        <vertAlign val="baseline"/>
        <sz val="8"/>
        <color theme="1"/>
        <name val="Dialog"/>
        <scheme val="none"/>
      </font>
      <protection locked="0" hidden="0"/>
    </dxf>
    <dxf>
      <font>
        <b val="0"/>
        <i val="0"/>
        <strike val="0"/>
        <condense val="0"/>
        <extend val="0"/>
        <outline val="0"/>
        <shadow val="0"/>
        <u val="none"/>
        <vertAlign val="baseline"/>
        <sz val="8"/>
        <color theme="1"/>
        <name val="Dialog"/>
        <scheme val="none"/>
      </font>
      <protection locked="0" hidden="0"/>
    </dxf>
    <dxf>
      <font>
        <b val="0"/>
        <i val="0"/>
        <strike val="0"/>
        <condense val="0"/>
        <extend val="0"/>
        <outline val="0"/>
        <shadow val="0"/>
        <u val="none"/>
        <vertAlign val="baseline"/>
        <sz val="8"/>
        <color theme="0"/>
        <name val="Dialog"/>
        <scheme val="none"/>
      </font>
      <numFmt numFmtId="0" formatCode="General"/>
      <fill>
        <patternFill patternType="solid">
          <fgColor indexed="64"/>
          <bgColor theme="3" tint="0.39997558519241921"/>
        </patternFill>
      </fill>
      <protection locked="1" hidden="0"/>
    </dxf>
    <dxf>
      <font>
        <b val="0"/>
        <i val="0"/>
        <strike val="0"/>
        <condense val="0"/>
        <extend val="0"/>
        <outline val="0"/>
        <shadow val="0"/>
        <u val="none"/>
        <vertAlign val="baseline"/>
        <sz val="8"/>
        <color theme="1"/>
        <name val="Dialog"/>
        <scheme val="none"/>
      </font>
      <protection locked="0" hidden="0"/>
    </dxf>
    <dxf>
      <font>
        <b val="0"/>
        <i val="0"/>
        <strike val="0"/>
        <condense val="0"/>
        <extend val="0"/>
        <outline val="0"/>
        <shadow val="0"/>
        <u val="none"/>
        <vertAlign val="baseline"/>
        <sz val="8"/>
        <color theme="1"/>
        <name val="Dialog"/>
        <scheme val="none"/>
      </font>
      <protection locked="0" hidden="0"/>
    </dxf>
    <dxf>
      <font>
        <b val="0"/>
        <i val="0"/>
        <strike val="0"/>
        <condense val="0"/>
        <extend val="0"/>
        <outline val="0"/>
        <shadow val="0"/>
        <u val="none"/>
        <vertAlign val="baseline"/>
        <sz val="8"/>
        <color rgb="FF000000"/>
        <name val="Dialog"/>
        <scheme val="none"/>
      </font>
      <numFmt numFmtId="30" formatCode="@"/>
      <alignment horizontal="left" vertical="center" textRotation="0" wrapText="0" indent="0" justifyLastLine="0" shrinkToFit="0" readingOrder="0"/>
      <protection locked="0" hidden="0"/>
    </dxf>
    <dxf>
      <font>
        <b val="0"/>
        <i val="0"/>
        <strike val="0"/>
        <condense val="0"/>
        <extend val="0"/>
        <outline val="0"/>
        <shadow val="0"/>
        <u val="none"/>
        <vertAlign val="baseline"/>
        <sz val="8"/>
        <color theme="0"/>
        <name val="Dialog"/>
        <scheme val="none"/>
      </font>
      <numFmt numFmtId="0" formatCode="General"/>
      <fill>
        <patternFill patternType="solid">
          <fgColor indexed="64"/>
          <bgColor theme="3" tint="0.39997558519241921"/>
        </patternFill>
      </fill>
      <alignment horizontal="left" vertical="center" textRotation="0" wrapText="0" indent="0" justifyLastLine="0" shrinkToFit="0" readingOrder="0"/>
      <protection locked="1" hidden="0"/>
    </dxf>
    <dxf>
      <font>
        <b val="0"/>
        <i val="0"/>
        <strike val="0"/>
        <condense val="0"/>
        <extend val="0"/>
        <outline val="0"/>
        <shadow val="0"/>
        <u val="none"/>
        <vertAlign val="baseline"/>
        <sz val="8"/>
        <color rgb="FF000000"/>
        <name val="Dialog"/>
        <scheme val="none"/>
      </font>
      <numFmt numFmtId="30" formatCode="@"/>
      <alignment horizontal="left" vertical="center" textRotation="0" wrapText="0" indent="0" justifyLastLine="0" shrinkToFit="0" readingOrder="0"/>
      <protection locked="0" hidden="0"/>
    </dxf>
    <dxf>
      <font>
        <b val="0"/>
        <i val="0"/>
        <strike val="0"/>
        <condense val="0"/>
        <extend val="0"/>
        <outline val="0"/>
        <shadow val="0"/>
        <u val="none"/>
        <vertAlign val="baseline"/>
        <sz val="8"/>
        <color rgb="FF000000"/>
        <name val="Dialog"/>
        <scheme val="none"/>
      </font>
      <numFmt numFmtId="30" formatCode="@"/>
      <alignment horizontal="left" vertical="center" textRotation="0" indent="0" justifyLastLine="0" shrinkToFit="0" readingOrder="0"/>
      <protection locked="0" hidden="0"/>
    </dxf>
    <dxf>
      <font>
        <b val="0"/>
        <i val="0"/>
        <strike val="0"/>
        <condense val="0"/>
        <extend val="0"/>
        <outline val="0"/>
        <shadow val="0"/>
        <u val="none"/>
        <vertAlign val="baseline"/>
        <sz val="8"/>
        <color rgb="FF000000"/>
        <name val="Dialog"/>
        <scheme val="none"/>
      </font>
      <numFmt numFmtId="30" formatCode="@"/>
      <alignment horizontal="left" vertical="center" textRotation="0" indent="0" justifyLastLine="0" shrinkToFit="0" readingOrder="0"/>
      <protection locked="0" hidden="0"/>
    </dxf>
    <dxf>
      <font>
        <b val="0"/>
        <i val="0"/>
        <strike val="0"/>
        <condense val="0"/>
        <extend val="0"/>
        <outline val="0"/>
        <shadow val="0"/>
        <u/>
        <vertAlign val="baseline"/>
        <sz val="8"/>
        <color indexed="12"/>
        <name val="Dialog"/>
        <scheme val="none"/>
      </font>
      <alignment horizontal="left" vertical="center" textRotation="0" indent="0" justifyLastLine="0" shrinkToFit="0" readingOrder="0"/>
      <protection locked="0" hidden="0"/>
    </dxf>
    <dxf>
      <font>
        <b val="0"/>
        <i val="0"/>
        <strike val="0"/>
        <condense val="0"/>
        <extend val="0"/>
        <outline val="0"/>
        <shadow val="0"/>
        <u val="none"/>
        <vertAlign val="baseline"/>
        <sz val="8"/>
        <color rgb="FF000000"/>
        <name val="Dialog"/>
        <scheme val="none"/>
      </font>
      <numFmt numFmtId="30" formatCode="@"/>
      <alignment horizontal="left" vertical="center" textRotation="0" indent="0" justifyLastLine="0" shrinkToFit="0" readingOrder="0"/>
      <protection locked="0" hidden="0"/>
    </dxf>
    <dxf>
      <font>
        <b val="0"/>
        <i val="0"/>
        <strike val="0"/>
        <condense val="0"/>
        <extend val="0"/>
        <outline val="0"/>
        <shadow val="0"/>
        <u val="none"/>
        <vertAlign val="baseline"/>
        <sz val="8"/>
        <color rgb="FF000000"/>
        <name val="Dialog"/>
        <scheme val="none"/>
      </font>
      <numFmt numFmtId="30" formatCode="@"/>
      <alignment horizontal="left" vertical="center" textRotation="0" indent="0" justifyLastLine="0" shrinkToFit="0" readingOrder="0"/>
      <protection locked="0" hidden="0"/>
    </dxf>
    <dxf>
      <font>
        <b val="0"/>
        <i val="0"/>
        <strike val="0"/>
        <condense val="0"/>
        <extend val="0"/>
        <outline val="0"/>
        <shadow val="0"/>
        <u val="none"/>
        <vertAlign val="baseline"/>
        <sz val="8"/>
        <color rgb="FF000000"/>
        <name val="Dialog"/>
        <scheme val="none"/>
      </font>
      <numFmt numFmtId="30" formatCode="@"/>
      <alignment horizontal="left" vertical="center" textRotation="0" indent="0" justifyLastLine="0" shrinkToFit="0" readingOrder="0"/>
      <protection locked="0" hidden="0"/>
    </dxf>
    <dxf>
      <font>
        <b val="0"/>
        <i val="0"/>
        <strike val="0"/>
        <condense val="0"/>
        <extend val="0"/>
        <outline val="0"/>
        <shadow val="0"/>
        <u val="none"/>
        <vertAlign val="baseline"/>
        <sz val="8"/>
        <color rgb="FF000000"/>
        <name val="Dialog"/>
        <scheme val="none"/>
      </font>
      <numFmt numFmtId="30" formatCode="@"/>
      <alignment horizontal="left" vertical="center" textRotation="0" indent="0" justifyLastLine="0" shrinkToFit="0" readingOrder="0"/>
      <protection locked="0" hidden="0"/>
    </dxf>
    <dxf>
      <font>
        <b val="0"/>
        <i val="0"/>
        <strike val="0"/>
        <condense val="0"/>
        <extend val="0"/>
        <outline val="0"/>
        <shadow val="0"/>
        <u val="none"/>
        <vertAlign val="baseline"/>
        <sz val="8"/>
        <color rgb="FF000000"/>
        <name val="Dialog"/>
        <scheme val="none"/>
      </font>
      <numFmt numFmtId="30" formatCode="@"/>
      <alignment horizontal="left" vertical="center" textRotation="0" indent="0" justifyLastLine="0" shrinkToFit="0" readingOrder="0"/>
      <protection locked="0" hidden="0"/>
    </dxf>
    <dxf>
      <font>
        <b val="0"/>
        <i val="0"/>
        <strike val="0"/>
        <condense val="0"/>
        <extend val="0"/>
        <outline val="0"/>
        <shadow val="0"/>
        <u val="none"/>
        <vertAlign val="baseline"/>
        <sz val="8"/>
        <color rgb="FF000000"/>
        <name val="Dialog"/>
        <scheme val="none"/>
      </font>
      <numFmt numFmtId="30" formatCode="@"/>
      <alignment horizontal="left" vertical="center" textRotation="0" indent="0" justifyLastLine="0" shrinkToFit="0" readingOrder="0"/>
      <protection locked="0" hidden="0"/>
    </dxf>
    <dxf>
      <font>
        <b val="0"/>
        <i val="0"/>
        <strike val="0"/>
        <condense val="0"/>
        <extend val="0"/>
        <outline val="0"/>
        <shadow val="0"/>
        <u val="none"/>
        <vertAlign val="baseline"/>
        <sz val="8"/>
        <color rgb="FF000000"/>
        <name val="Dialog"/>
        <scheme val="none"/>
      </font>
      <numFmt numFmtId="30" formatCode="@"/>
      <alignment horizontal="left" vertical="center" textRotation="0" indent="0" justifyLastLine="0" shrinkToFit="0" readingOrder="0"/>
      <protection locked="0" hidden="0"/>
    </dxf>
    <dxf>
      <font>
        <b val="0"/>
        <i val="0"/>
        <strike val="0"/>
        <condense val="0"/>
        <extend val="0"/>
        <outline val="0"/>
        <shadow val="0"/>
        <u val="none"/>
        <vertAlign val="baseline"/>
        <sz val="8"/>
        <color rgb="FF000000"/>
        <name val="Dialog"/>
        <scheme val="none"/>
      </font>
      <numFmt numFmtId="30" formatCode="@"/>
      <alignment horizontal="left" vertical="center" textRotation="0" indent="0" justifyLastLine="0" shrinkToFit="0" readingOrder="0"/>
      <protection locked="0" hidden="0"/>
    </dxf>
    <dxf>
      <font>
        <b val="0"/>
        <i val="0"/>
        <strike val="0"/>
        <condense val="0"/>
        <extend val="0"/>
        <outline val="0"/>
        <shadow val="0"/>
        <u val="none"/>
        <vertAlign val="baseline"/>
        <sz val="8"/>
        <color rgb="FF000000"/>
        <name val="Dialog"/>
        <scheme val="none"/>
      </font>
      <numFmt numFmtId="30" formatCode="@"/>
      <alignment horizontal="left" vertical="center" textRotation="0" wrapText="1" indent="0" justifyLastLine="0" shrinkToFit="0" readingOrder="0"/>
      <protection locked="0" hidden="0"/>
    </dxf>
    <dxf>
      <font>
        <b val="0"/>
        <i val="0"/>
        <strike val="0"/>
        <condense val="0"/>
        <extend val="0"/>
        <outline val="0"/>
        <shadow val="0"/>
        <u val="none"/>
        <vertAlign val="baseline"/>
        <sz val="8"/>
        <color rgb="FF000000"/>
        <name val="Dialog"/>
        <scheme val="none"/>
      </font>
      <numFmt numFmtId="30" formatCode="@"/>
      <alignment horizontal="left" vertical="center" textRotation="0" indent="0" justifyLastLine="0" shrinkToFit="0" readingOrder="0"/>
      <protection locked="0" hidden="0"/>
    </dxf>
    <dxf>
      <font>
        <b val="0"/>
        <i val="0"/>
        <strike val="0"/>
        <condense val="0"/>
        <extend val="0"/>
        <outline val="0"/>
        <shadow val="0"/>
        <u val="none"/>
        <vertAlign val="baseline"/>
        <sz val="8"/>
        <color rgb="FF000000"/>
        <name val="Dialog"/>
        <scheme val="none"/>
      </font>
      <numFmt numFmtId="30" formatCode="@"/>
      <alignment horizontal="left" vertical="center" textRotation="0" indent="0" justifyLastLine="0" shrinkToFit="0" readingOrder="0"/>
      <protection locked="0" hidden="0"/>
    </dxf>
    <dxf>
      <font>
        <b val="0"/>
        <i val="0"/>
        <strike val="0"/>
        <condense val="0"/>
        <extend val="0"/>
        <outline val="0"/>
        <shadow val="0"/>
        <u val="none"/>
        <vertAlign val="baseline"/>
        <sz val="8"/>
        <color theme="0"/>
        <name val="Dialog"/>
        <scheme val="none"/>
      </font>
      <numFmt numFmtId="0" formatCode="General"/>
      <fill>
        <patternFill patternType="solid">
          <fgColor indexed="64"/>
          <bgColor theme="3" tint="0.39997558519241921"/>
        </patternFill>
      </fill>
      <alignment horizontal="left" vertical="center" textRotation="0" indent="0" justifyLastLine="0" shrinkToFit="0" readingOrder="0"/>
      <protection locked="1" hidden="0"/>
    </dxf>
    <dxf>
      <font>
        <b val="0"/>
        <i val="0"/>
        <strike val="0"/>
        <condense val="0"/>
        <extend val="0"/>
        <outline val="0"/>
        <shadow val="0"/>
        <u val="none"/>
        <vertAlign val="baseline"/>
        <sz val="8"/>
        <color rgb="FF000000"/>
        <name val="Dialog"/>
        <scheme val="none"/>
      </font>
      <alignment horizontal="left" vertical="center" textRotation="0" indent="0" justifyLastLine="0" shrinkToFit="0" readingOrder="0"/>
      <protection locked="0" hidden="0"/>
    </dxf>
    <dxf>
      <font>
        <b val="0"/>
        <i val="0"/>
        <strike val="0"/>
        <condense val="0"/>
        <extend val="0"/>
        <outline val="0"/>
        <shadow val="0"/>
        <u val="none"/>
        <vertAlign val="baseline"/>
        <sz val="8"/>
        <color rgb="FF000000"/>
        <name val="Dialog"/>
        <scheme val="none"/>
      </font>
      <protection locked="0" hidden="0"/>
    </dxf>
    <dxf>
      <font>
        <b val="0"/>
        <i val="0"/>
        <strike val="0"/>
        <condense val="0"/>
        <extend val="0"/>
        <outline val="0"/>
        <shadow val="0"/>
        <u val="none"/>
        <vertAlign val="baseline"/>
        <sz val="8"/>
        <color rgb="FF000000"/>
        <name val="Dialog"/>
        <scheme val="none"/>
      </font>
      <numFmt numFmtId="30" formatCode="@"/>
      <alignment horizontal="left" vertical="center" textRotation="0" wrapText="0" indent="0" justifyLastLine="0" shrinkToFit="0" readingOrder="0"/>
      <protection locked="0" hidden="0"/>
    </dxf>
    <dxf>
      <font>
        <b val="0"/>
        <i val="0"/>
        <strike val="0"/>
        <condense val="0"/>
        <extend val="0"/>
        <outline val="0"/>
        <shadow val="0"/>
        <u val="none"/>
        <vertAlign val="baseline"/>
        <sz val="8"/>
        <color theme="0"/>
        <name val="Dialog"/>
        <scheme val="none"/>
      </font>
      <numFmt numFmtId="0" formatCode="General"/>
      <fill>
        <patternFill patternType="solid">
          <fgColor indexed="64"/>
          <bgColor theme="3" tint="0.39997558519241921"/>
        </patternFill>
      </fill>
      <alignment horizontal="left" vertical="center" textRotation="0" wrapText="0" indent="0" justifyLastLine="0" shrinkToFit="0" readingOrder="0"/>
      <protection locked="1" hidden="0"/>
    </dxf>
    <dxf>
      <font>
        <b val="0"/>
        <i val="0"/>
        <strike val="0"/>
        <condense val="0"/>
        <extend val="0"/>
        <outline val="0"/>
        <shadow val="0"/>
        <u val="none"/>
        <vertAlign val="baseline"/>
        <sz val="8"/>
        <color rgb="FF000000"/>
        <name val="Dialog"/>
        <scheme val="none"/>
      </font>
      <numFmt numFmtId="30" formatCode="@"/>
      <alignment horizontal="left" vertical="center" textRotation="0" wrapText="0" indent="0" justifyLastLine="0" shrinkToFit="0" readingOrder="0"/>
      <protection locked="0" hidden="0"/>
    </dxf>
    <dxf>
      <font>
        <b val="0"/>
        <i val="0"/>
        <strike val="0"/>
        <condense val="0"/>
        <extend val="0"/>
        <outline val="0"/>
        <shadow val="0"/>
        <u val="none"/>
        <vertAlign val="baseline"/>
        <sz val="8"/>
        <color rgb="FF000000"/>
        <name val="Dialog"/>
        <scheme val="none"/>
      </font>
      <numFmt numFmtId="30" formatCode="@"/>
      <alignment horizontal="left" vertical="center" textRotation="0" wrapText="1" indent="0" justifyLastLine="0" shrinkToFit="0" readingOrder="0"/>
      <protection locked="0" hidden="0"/>
    </dxf>
    <dxf>
      <font>
        <b val="0"/>
        <i val="0"/>
        <strike val="0"/>
        <condense val="0"/>
        <extend val="0"/>
        <outline val="0"/>
        <shadow val="0"/>
        <u val="none"/>
        <vertAlign val="baseline"/>
        <sz val="8"/>
        <color rgb="FF000000"/>
        <name val="Dialog"/>
        <scheme val="none"/>
      </font>
      <numFmt numFmtId="30" formatCode="@"/>
      <alignment horizontal="left" vertical="center" textRotation="0" wrapText="1" indent="0" justifyLastLine="0" shrinkToFit="0" readingOrder="0"/>
      <protection locked="0" hidden="0"/>
    </dxf>
    <dxf>
      <font>
        <b val="0"/>
        <i val="0"/>
        <strike val="0"/>
        <condense val="0"/>
        <extend val="0"/>
        <outline val="0"/>
        <shadow val="0"/>
        <u val="none"/>
        <vertAlign val="baseline"/>
        <sz val="8"/>
        <color rgb="FF000000"/>
        <name val="Dialog"/>
        <scheme val="none"/>
      </font>
      <numFmt numFmtId="30" formatCode="@"/>
      <alignment horizontal="left" vertical="center" textRotation="0" wrapText="0" indent="0" justifyLastLine="0" shrinkToFit="0" readingOrder="0"/>
      <protection locked="0" hidden="0"/>
    </dxf>
    <dxf>
      <font>
        <b val="0"/>
        <i val="0"/>
        <strike val="0"/>
        <condense val="0"/>
        <extend val="0"/>
        <outline val="0"/>
        <shadow val="0"/>
        <u val="none"/>
        <vertAlign val="baseline"/>
        <sz val="8"/>
        <color theme="0"/>
        <name val="Dialog"/>
        <scheme val="none"/>
      </font>
      <numFmt numFmtId="0" formatCode="General"/>
      <fill>
        <patternFill patternType="solid">
          <fgColor indexed="64"/>
          <bgColor theme="3" tint="0.39997558519241921"/>
        </patternFill>
      </fill>
      <alignment horizontal="left" vertical="center" textRotation="0" wrapText="1" indent="0" justifyLastLine="0" shrinkToFit="0" readingOrder="0"/>
      <protection locked="1" hidden="0"/>
    </dxf>
    <dxf>
      <font>
        <b val="0"/>
        <i val="0"/>
        <strike val="0"/>
        <condense val="0"/>
        <extend val="0"/>
        <outline val="0"/>
        <shadow val="0"/>
        <u val="none"/>
        <vertAlign val="baseline"/>
        <sz val="8"/>
        <color rgb="FF000000"/>
        <name val="Dialog"/>
        <scheme val="none"/>
      </font>
      <numFmt numFmtId="30" formatCode="@"/>
      <alignment horizontal="left" vertical="center" textRotation="0" wrapText="1" indent="0" justifyLastLine="0" shrinkToFit="0" readingOrder="0"/>
      <protection locked="0" hidden="0"/>
    </dxf>
    <dxf>
      <font>
        <b val="0"/>
        <i val="0"/>
        <strike val="0"/>
        <condense val="0"/>
        <extend val="0"/>
        <outline val="0"/>
        <shadow val="0"/>
        <u val="none"/>
        <vertAlign val="baseline"/>
        <sz val="8"/>
        <color rgb="FF000000"/>
        <name val="Dialog"/>
        <scheme val="none"/>
      </font>
      <numFmt numFmtId="30" formatCode="@"/>
      <alignment horizontal="left" vertical="center" textRotation="0" wrapText="0" indent="0" justifyLastLine="0" shrinkToFit="0" readingOrder="0"/>
      <protection locked="0" hidden="0"/>
    </dxf>
    <dxf>
      <font>
        <b val="0"/>
        <i val="0"/>
        <strike val="0"/>
        <condense val="0"/>
        <extend val="0"/>
        <outline val="0"/>
        <shadow val="0"/>
        <u val="none"/>
        <vertAlign val="baseline"/>
        <sz val="8"/>
        <color rgb="FF000000"/>
        <name val="Dialog"/>
        <scheme val="none"/>
      </font>
      <numFmt numFmtId="30" formatCode="@"/>
      <alignment horizontal="left" vertical="center" textRotation="0" wrapText="0" indent="0" justifyLastLine="0" shrinkToFit="0" readingOrder="0"/>
      <protection locked="0" hidden="0"/>
    </dxf>
    <dxf>
      <font>
        <b val="0"/>
        <i val="0"/>
        <strike val="0"/>
        <condense val="0"/>
        <extend val="0"/>
        <outline val="0"/>
        <shadow val="0"/>
        <u val="none"/>
        <vertAlign val="baseline"/>
        <sz val="8"/>
        <color theme="0"/>
        <name val="Dialog"/>
        <scheme val="none"/>
      </font>
      <numFmt numFmtId="0" formatCode="General"/>
      <fill>
        <patternFill patternType="solid">
          <fgColor indexed="64"/>
          <bgColor theme="3" tint="0.39997558519241921"/>
        </patternFill>
      </fill>
      <alignment horizontal="left" vertical="center" textRotation="0" wrapText="0" indent="0" justifyLastLine="0" shrinkToFit="0" readingOrder="0"/>
      <protection locked="1" hidden="0"/>
    </dxf>
    <dxf>
      <font>
        <b val="0"/>
        <i val="0"/>
        <strike val="0"/>
        <condense val="0"/>
        <extend val="0"/>
        <outline val="0"/>
        <shadow val="0"/>
        <u val="none"/>
        <vertAlign val="baseline"/>
        <sz val="8"/>
        <color rgb="FF000000"/>
        <name val="Dialog"/>
        <scheme val="none"/>
      </font>
      <alignment horizontal="left" vertical="center" textRotation="0" wrapText="0" indent="0" justifyLastLine="0" shrinkToFit="0" readingOrder="0"/>
      <protection locked="0" hidden="0"/>
    </dxf>
    <dxf>
      <font>
        <b val="0"/>
        <i val="0"/>
        <strike val="0"/>
        <condense val="0"/>
        <extend val="0"/>
        <outline val="0"/>
        <shadow val="0"/>
        <u val="none"/>
        <vertAlign val="baseline"/>
        <sz val="8"/>
        <color theme="0"/>
        <name val="Dialog"/>
        <scheme val="none"/>
      </font>
      <alignment horizontal="left" vertical="center" textRotation="0" indent="0" justifyLastLine="0" shrinkToFit="0" readingOrder="0"/>
      <protection locked="0" hidden="0"/>
    </dxf>
    <dxf>
      <font>
        <b val="0"/>
        <i val="0"/>
        <strike val="0"/>
        <condense val="0"/>
        <extend val="0"/>
        <outline val="0"/>
        <shadow val="0"/>
        <u val="none"/>
        <vertAlign val="baseline"/>
        <sz val="8"/>
        <color rgb="FF000000"/>
        <name val="Dialog"/>
        <scheme val="none"/>
      </font>
      <numFmt numFmtId="30" formatCode="@"/>
      <alignment horizontal="left" vertical="center" textRotation="0" wrapText="0" indent="0" justifyLastLine="0" shrinkToFit="0" readingOrder="0"/>
      <protection locked="0" hidden="0"/>
    </dxf>
    <dxf>
      <font>
        <b val="0"/>
        <i val="0"/>
        <strike val="0"/>
        <condense val="0"/>
        <extend val="0"/>
        <outline val="0"/>
        <shadow val="0"/>
        <u val="none"/>
        <vertAlign val="baseline"/>
        <sz val="8"/>
        <color rgb="FF000000"/>
        <name val="Dialog"/>
        <scheme val="none"/>
      </font>
      <numFmt numFmtId="30" formatCode="@"/>
      <alignment horizontal="left" vertical="center" textRotation="0" wrapText="0" indent="0" justifyLastLine="0" shrinkToFit="0" readingOrder="0"/>
      <protection locked="0" hidden="0"/>
    </dxf>
    <dxf>
      <font>
        <b val="0"/>
        <i val="0"/>
        <strike val="0"/>
        <condense val="0"/>
        <extend val="0"/>
        <outline val="0"/>
        <shadow val="0"/>
        <u val="none"/>
        <vertAlign val="baseline"/>
        <sz val="8"/>
        <color theme="0"/>
        <name val="Dialog"/>
        <scheme val="none"/>
      </font>
      <numFmt numFmtId="0" formatCode="General"/>
      <fill>
        <patternFill patternType="solid">
          <fgColor indexed="64"/>
          <bgColor theme="3" tint="0.39997558519241921"/>
        </patternFill>
      </fill>
      <alignment horizontal="left" vertical="center" textRotation="0" wrapText="1" indent="0" justifyLastLine="0" shrinkToFit="0" readingOrder="0"/>
      <protection locked="1" hidden="0"/>
    </dxf>
    <dxf>
      <font>
        <b val="0"/>
        <i val="0"/>
        <strike val="0"/>
        <condense val="0"/>
        <extend val="0"/>
        <outline val="0"/>
        <shadow val="0"/>
        <u val="none"/>
        <vertAlign val="baseline"/>
        <sz val="8"/>
        <color rgb="FF000000"/>
        <name val="Dialog"/>
        <scheme val="none"/>
      </font>
      <numFmt numFmtId="30" formatCode="@"/>
      <alignment horizontal="left" vertical="center" textRotation="0" wrapText="0" indent="0" justifyLastLine="0" shrinkToFit="0" readingOrder="0"/>
      <protection locked="0" hidden="0"/>
    </dxf>
    <dxf>
      <font>
        <b val="0"/>
        <i val="0"/>
        <strike val="0"/>
        <condense val="0"/>
        <extend val="0"/>
        <outline val="0"/>
        <shadow val="0"/>
        <u val="none"/>
        <vertAlign val="baseline"/>
        <sz val="8"/>
        <color rgb="FF000000"/>
        <name val="Dialog"/>
        <scheme val="none"/>
      </font>
      <numFmt numFmtId="30" formatCode="@"/>
      <alignment horizontal="left" vertical="center" textRotation="0" wrapText="0" indent="0" justifyLastLine="0" shrinkToFit="0" readingOrder="0"/>
      <protection locked="0" hidden="0"/>
    </dxf>
    <dxf>
      <font>
        <b val="0"/>
        <i val="0"/>
        <strike val="0"/>
        <condense val="0"/>
        <extend val="0"/>
        <outline val="0"/>
        <shadow val="0"/>
        <u val="none"/>
        <vertAlign val="baseline"/>
        <sz val="8"/>
        <color rgb="FF000000"/>
        <name val="Dialog"/>
        <scheme val="none"/>
      </font>
      <numFmt numFmtId="30" formatCode="@"/>
      <alignment horizontal="left" vertical="center" textRotation="0" wrapText="0" indent="0" justifyLastLine="0" shrinkToFit="0" readingOrder="0"/>
      <protection locked="0" hidden="0"/>
    </dxf>
    <dxf>
      <font>
        <b val="0"/>
        <i val="0"/>
        <strike val="0"/>
        <condense val="0"/>
        <extend val="0"/>
        <outline val="0"/>
        <shadow val="0"/>
        <u val="none"/>
        <vertAlign val="baseline"/>
        <sz val="8"/>
        <color theme="0"/>
        <name val="Dialog"/>
        <scheme val="none"/>
      </font>
      <numFmt numFmtId="0" formatCode="General"/>
      <fill>
        <patternFill patternType="solid">
          <fgColor indexed="64"/>
          <bgColor theme="3" tint="0.39997558519241921"/>
        </patternFill>
      </fill>
      <alignment horizontal="left" vertical="center" textRotation="0" wrapText="0" indent="0" justifyLastLine="0" shrinkToFit="0" readingOrder="0"/>
      <protection locked="1" hidden="0"/>
    </dxf>
    <dxf>
      <font>
        <b val="0"/>
        <i val="0"/>
        <strike val="0"/>
        <condense val="0"/>
        <extend val="0"/>
        <outline val="0"/>
        <shadow val="0"/>
        <u val="none"/>
        <vertAlign val="baseline"/>
        <sz val="8"/>
        <color rgb="FF000000"/>
        <name val="Dialog"/>
        <scheme val="none"/>
      </font>
      <alignment horizontal="left" vertical="center" textRotation="0" wrapText="0" indent="0" justifyLastLine="0" shrinkToFit="0" readingOrder="0"/>
      <protection locked="0" hidden="0"/>
    </dxf>
    <dxf>
      <font>
        <b val="0"/>
        <i val="0"/>
        <strike val="0"/>
        <condense val="0"/>
        <extend val="0"/>
        <outline val="0"/>
        <shadow val="0"/>
        <u val="none"/>
        <vertAlign val="baseline"/>
        <sz val="8"/>
        <color theme="0"/>
        <name val="Dialog"/>
        <scheme val="none"/>
      </font>
      <alignment horizontal="left" vertical="center" textRotation="0" wrapText="0" indent="0" justifyLastLine="0" shrinkToFit="0" readingOrder="0"/>
      <protection locked="0" hidden="0"/>
    </dxf>
    <dxf>
      <font>
        <b val="0"/>
        <i val="0"/>
        <strike val="0"/>
        <condense val="0"/>
        <extend val="0"/>
        <outline val="0"/>
        <shadow val="0"/>
        <u val="none"/>
        <vertAlign val="baseline"/>
        <sz val="8"/>
        <color theme="1"/>
        <name val="Calibri"/>
        <family val="2"/>
        <scheme val="minor"/>
      </font>
    </dxf>
    <dxf>
      <font>
        <b val="0"/>
        <i val="0"/>
        <strike val="0"/>
        <condense val="0"/>
        <extend val="0"/>
        <outline val="0"/>
        <shadow val="0"/>
        <u val="none"/>
        <vertAlign val="baseline"/>
        <sz val="8"/>
        <color theme="1"/>
        <name val="Calibri"/>
        <family val="2"/>
        <scheme val="minor"/>
      </font>
    </dxf>
    <dxf>
      <font>
        <b val="0"/>
        <i val="0"/>
        <strike val="0"/>
        <condense val="0"/>
        <extend val="0"/>
        <outline val="0"/>
        <shadow val="0"/>
        <u val="none"/>
        <vertAlign val="baseline"/>
        <sz val="8"/>
        <color theme="1"/>
        <name val="Calibri"/>
        <family val="2"/>
        <scheme val="minor"/>
      </font>
    </dxf>
    <dxf>
      <font>
        <b val="0"/>
        <i val="0"/>
        <strike val="0"/>
        <condense val="0"/>
        <extend val="0"/>
        <outline val="0"/>
        <shadow val="0"/>
        <u val="none"/>
        <vertAlign val="baseline"/>
        <sz val="8"/>
        <color theme="1"/>
        <name val="Calibri"/>
        <family val="2"/>
        <scheme val="minor"/>
      </font>
    </dxf>
    <dxf>
      <font>
        <strike val="0"/>
        <outline val="0"/>
        <shadow val="0"/>
        <u val="none"/>
        <vertAlign val="baseline"/>
        <sz val="8"/>
        <color theme="1"/>
        <name val="Dialog"/>
        <scheme val="none"/>
      </font>
      <protection locked="0" hidden="0"/>
    </dxf>
    <dxf>
      <font>
        <strike val="0"/>
        <outline val="0"/>
        <shadow val="0"/>
        <u val="none"/>
        <vertAlign val="baseline"/>
        <sz val="8"/>
        <color theme="1"/>
        <name val="Dialog"/>
        <scheme val="none"/>
      </font>
      <protection locked="0" hidden="0"/>
    </dxf>
    <dxf>
      <font>
        <strike val="0"/>
        <outline val="0"/>
        <shadow val="0"/>
        <u val="none"/>
        <vertAlign val="baseline"/>
        <sz val="8"/>
        <color theme="1"/>
        <name val="Dialog"/>
        <scheme val="none"/>
      </font>
      <protection locked="0" hidden="0"/>
    </dxf>
    <dxf>
      <font>
        <strike val="0"/>
        <outline val="0"/>
        <shadow val="0"/>
        <u val="none"/>
        <vertAlign val="baseline"/>
        <sz val="8"/>
        <color theme="1"/>
        <name val="Dialog"/>
        <scheme val="none"/>
      </font>
      <protection locked="0" hidden="0"/>
    </dxf>
    <dxf>
      <font>
        <strike val="0"/>
        <outline val="0"/>
        <shadow val="0"/>
        <u val="none"/>
        <vertAlign val="baseline"/>
        <sz val="8"/>
        <color theme="1"/>
        <name val="Dialog"/>
        <scheme val="none"/>
      </font>
      <protection locked="0" hidden="0"/>
    </dxf>
    <dxf>
      <font>
        <strike val="0"/>
        <outline val="0"/>
        <shadow val="0"/>
        <u val="none"/>
        <vertAlign val="baseline"/>
        <sz val="8"/>
        <color theme="0"/>
        <name val="Dialog"/>
        <scheme val="none"/>
      </font>
      <numFmt numFmtId="0" formatCode="General"/>
      <fill>
        <patternFill patternType="solid">
          <fgColor indexed="64"/>
          <bgColor theme="3" tint="0.39997558519241921"/>
        </patternFill>
      </fill>
      <protection locked="1" hidden="0"/>
    </dxf>
    <dxf>
      <font>
        <strike val="0"/>
        <outline val="0"/>
        <shadow val="0"/>
        <u val="none"/>
        <vertAlign val="baseline"/>
        <sz val="8"/>
        <color theme="1"/>
        <name val="Dialog"/>
        <scheme val="none"/>
      </font>
      <protection locked="0" hidden="0"/>
    </dxf>
    <dxf>
      <font>
        <b val="0"/>
        <i val="0"/>
        <strike val="0"/>
        <condense val="0"/>
        <extend val="0"/>
        <outline val="0"/>
        <shadow val="0"/>
        <u val="none"/>
        <vertAlign val="baseline"/>
        <sz val="8"/>
        <color theme="1"/>
        <name val="Dialog"/>
        <scheme val="none"/>
      </font>
      <protection locked="0" hidden="0"/>
    </dxf>
    <dxf>
      <font>
        <b val="0"/>
        <i val="0"/>
        <strike val="0"/>
        <condense val="0"/>
        <extend val="0"/>
        <outline val="0"/>
        <shadow val="0"/>
        <u val="none"/>
        <vertAlign val="baseline"/>
        <sz val="8"/>
        <color rgb="FF000000"/>
        <name val="Dialog"/>
        <scheme val="none"/>
      </font>
      <numFmt numFmtId="30" formatCode="@"/>
      <protection locked="0" hidden="0"/>
    </dxf>
    <dxf>
      <font>
        <b val="0"/>
        <i val="0"/>
        <strike val="0"/>
        <condense val="0"/>
        <extend val="0"/>
        <outline val="0"/>
        <shadow val="0"/>
        <u val="none"/>
        <vertAlign val="baseline"/>
        <sz val="8"/>
        <color rgb="FF000000"/>
        <name val="Dialog"/>
        <scheme val="none"/>
      </font>
      <numFmt numFmtId="30" formatCode="@"/>
      <protection locked="0" hidden="0"/>
    </dxf>
    <dxf>
      <font>
        <b val="0"/>
        <i val="0"/>
        <strike val="0"/>
        <condense val="0"/>
        <extend val="0"/>
        <outline val="0"/>
        <shadow val="0"/>
        <u val="none"/>
        <vertAlign val="baseline"/>
        <sz val="8"/>
        <color rgb="FF000000"/>
        <name val="Dialog"/>
        <scheme val="none"/>
      </font>
      <numFmt numFmtId="30" formatCode="@"/>
      <protection locked="0" hidden="0"/>
    </dxf>
    <dxf>
      <font>
        <b val="0"/>
        <i val="0"/>
        <strike val="0"/>
        <condense val="0"/>
        <extend val="0"/>
        <outline val="0"/>
        <shadow val="0"/>
        <u val="none"/>
        <vertAlign val="baseline"/>
        <sz val="8"/>
        <color rgb="FF000000"/>
        <name val="Dialog"/>
        <scheme val="none"/>
      </font>
      <numFmt numFmtId="30" formatCode="@"/>
      <protection locked="0" hidden="0"/>
    </dxf>
    <dxf>
      <font>
        <b val="0"/>
        <i val="0"/>
        <strike val="0"/>
        <condense val="0"/>
        <extend val="0"/>
        <outline val="0"/>
        <shadow val="0"/>
        <u val="none"/>
        <vertAlign val="baseline"/>
        <sz val="8"/>
        <color rgb="FF000000"/>
        <name val="Dialog"/>
        <scheme val="none"/>
      </font>
      <numFmt numFmtId="30" formatCode="@"/>
      <protection locked="0" hidden="0"/>
    </dxf>
    <dxf>
      <font>
        <b val="0"/>
        <i val="0"/>
        <strike val="0"/>
        <condense val="0"/>
        <extend val="0"/>
        <outline val="0"/>
        <shadow val="0"/>
        <u val="none"/>
        <vertAlign val="baseline"/>
        <sz val="8"/>
        <color rgb="FF000000"/>
        <name val="Dialog"/>
        <scheme val="none"/>
      </font>
      <numFmt numFmtId="30" formatCode="@"/>
      <protection locked="0" hidden="0"/>
    </dxf>
    <dxf>
      <font>
        <b val="0"/>
        <i val="0"/>
        <strike val="0"/>
        <condense val="0"/>
        <extend val="0"/>
        <outline val="0"/>
        <shadow val="0"/>
        <u val="none"/>
        <vertAlign val="baseline"/>
        <sz val="8"/>
        <color rgb="FF000000"/>
        <name val="Dialog"/>
        <scheme val="none"/>
      </font>
      <numFmt numFmtId="30" formatCode="@"/>
      <protection locked="0" hidden="0"/>
    </dxf>
    <dxf>
      <font>
        <b val="0"/>
        <i val="0"/>
        <strike val="0"/>
        <condense val="0"/>
        <extend val="0"/>
        <outline val="0"/>
        <shadow val="0"/>
        <u val="none"/>
        <vertAlign val="baseline"/>
        <sz val="8"/>
        <color theme="0"/>
        <name val="Dialog"/>
        <scheme val="none"/>
      </font>
      <numFmt numFmtId="0" formatCode="General"/>
      <fill>
        <patternFill patternType="solid">
          <fgColor indexed="64"/>
          <bgColor theme="3" tint="0.39997558519241921"/>
        </patternFill>
      </fill>
      <protection locked="1" hidden="0"/>
    </dxf>
    <dxf>
      <font>
        <b val="0"/>
        <i val="0"/>
        <strike val="0"/>
        <condense val="0"/>
        <extend val="0"/>
        <outline val="0"/>
        <shadow val="0"/>
        <u val="none"/>
        <vertAlign val="baseline"/>
        <sz val="8"/>
        <color rgb="FF000000"/>
        <name val="Dialog"/>
        <scheme val="none"/>
      </font>
      <protection locked="0" hidden="0"/>
    </dxf>
    <dxf>
      <font>
        <b val="0"/>
        <i val="0"/>
        <strike val="0"/>
        <condense val="0"/>
        <extend val="0"/>
        <outline val="0"/>
        <shadow val="0"/>
        <u val="none"/>
        <vertAlign val="baseline"/>
        <sz val="8"/>
        <color theme="0"/>
        <name val="Dialog"/>
        <scheme val="none"/>
      </font>
      <protection locked="0" hidden="0"/>
    </dxf>
    <dxf>
      <font>
        <b val="0"/>
        <i val="0"/>
        <strike val="0"/>
        <condense val="0"/>
        <extend val="0"/>
        <outline val="0"/>
        <shadow val="0"/>
        <u val="none"/>
        <vertAlign val="baseline"/>
        <sz val="8"/>
        <color theme="1"/>
        <name val="Dialog"/>
        <scheme val="none"/>
      </font>
      <protection locked="0" hidden="0"/>
    </dxf>
    <dxf>
      <font>
        <b val="0"/>
        <i val="0"/>
        <strike val="0"/>
        <condense val="0"/>
        <extend val="0"/>
        <outline val="0"/>
        <shadow val="0"/>
        <u val="none"/>
        <vertAlign val="baseline"/>
        <sz val="8"/>
        <color theme="1"/>
        <name val="Dialog"/>
        <scheme val="none"/>
      </font>
      <protection locked="0" hidden="0"/>
    </dxf>
    <dxf>
      <font>
        <b val="0"/>
        <i val="0"/>
        <strike val="0"/>
        <condense val="0"/>
        <extend val="0"/>
        <outline val="0"/>
        <shadow val="0"/>
        <u val="none"/>
        <vertAlign val="baseline"/>
        <sz val="8"/>
        <color theme="1"/>
        <name val="Dialog"/>
        <scheme val="none"/>
      </font>
      <protection locked="0" hidden="0"/>
    </dxf>
    <dxf>
      <font>
        <b val="0"/>
        <i val="0"/>
        <strike val="0"/>
        <condense val="0"/>
        <extend val="0"/>
        <outline val="0"/>
        <shadow val="0"/>
        <u val="none"/>
        <vertAlign val="baseline"/>
        <sz val="8"/>
        <color theme="1"/>
        <name val="Dialog"/>
        <scheme val="none"/>
      </font>
      <protection locked="0" hidden="0"/>
    </dxf>
    <dxf>
      <font>
        <b val="0"/>
        <i val="0"/>
        <strike val="0"/>
        <condense val="0"/>
        <extend val="0"/>
        <outline val="0"/>
        <shadow val="0"/>
        <u val="none"/>
        <vertAlign val="baseline"/>
        <sz val="8"/>
        <color theme="1"/>
        <name val="Dialog"/>
        <scheme val="none"/>
      </font>
      <protection locked="0" hidden="0"/>
    </dxf>
    <dxf>
      <font>
        <b val="0"/>
        <i val="0"/>
        <strike val="0"/>
        <condense val="0"/>
        <extend val="0"/>
        <outline val="0"/>
        <shadow val="0"/>
        <u val="none"/>
        <vertAlign val="baseline"/>
        <sz val="8"/>
        <color theme="1"/>
        <name val="Dialog"/>
        <scheme val="none"/>
      </font>
      <protection locked="0" hidden="0"/>
    </dxf>
    <dxf>
      <font>
        <b val="0"/>
        <i val="0"/>
        <strike val="0"/>
        <condense val="0"/>
        <extend val="0"/>
        <outline val="0"/>
        <shadow val="0"/>
        <u val="none"/>
        <vertAlign val="baseline"/>
        <sz val="8"/>
        <color theme="1"/>
        <name val="Dialog"/>
        <scheme val="none"/>
      </font>
      <protection locked="0" hidden="0"/>
    </dxf>
    <dxf>
      <font>
        <b val="0"/>
        <i val="0"/>
        <strike val="0"/>
        <condense val="0"/>
        <extend val="0"/>
        <outline val="0"/>
        <shadow val="0"/>
        <u val="none"/>
        <vertAlign val="baseline"/>
        <sz val="8"/>
        <color theme="1"/>
        <name val="Dialog"/>
        <scheme val="none"/>
      </font>
      <numFmt numFmtId="0" formatCode="General"/>
      <protection locked="0" hidden="0"/>
    </dxf>
    <dxf>
      <font>
        <b val="0"/>
        <i val="0"/>
        <strike val="0"/>
        <condense val="0"/>
        <extend val="0"/>
        <outline val="0"/>
        <shadow val="0"/>
        <u val="none"/>
        <vertAlign val="baseline"/>
        <sz val="8"/>
        <color rgb="FF000000"/>
        <name val="Dialog"/>
        <scheme val="none"/>
      </font>
      <protection locked="0" hidden="0"/>
    </dxf>
    <dxf>
      <font>
        <b val="0"/>
        <i val="0"/>
        <strike val="0"/>
        <condense val="0"/>
        <extend val="0"/>
        <outline val="0"/>
        <shadow val="0"/>
        <u val="none"/>
        <vertAlign val="baseline"/>
        <sz val="8"/>
        <color theme="1"/>
        <name val="Dialog"/>
        <scheme val="none"/>
      </font>
      <protection locked="0" hidden="0"/>
    </dxf>
    <dxf>
      <font>
        <strike val="0"/>
        <outline val="0"/>
        <shadow val="0"/>
        <u val="none"/>
        <vertAlign val="baseline"/>
        <sz val="8"/>
        <color theme="1"/>
        <name val="Dialog"/>
        <scheme val="none"/>
      </font>
      <protection locked="0" hidden="0"/>
    </dxf>
    <dxf>
      <font>
        <strike val="0"/>
        <outline val="0"/>
        <shadow val="0"/>
        <u val="none"/>
        <vertAlign val="baseline"/>
        <sz val="8"/>
        <color theme="1"/>
        <name val="Dialog"/>
        <scheme val="none"/>
      </font>
      <protection locked="0" hidden="0"/>
    </dxf>
    <dxf>
      <font>
        <strike val="0"/>
        <outline val="0"/>
        <shadow val="0"/>
        <u val="none"/>
        <vertAlign val="baseline"/>
        <sz val="8"/>
        <color theme="1"/>
        <name val="Dialog"/>
        <scheme val="none"/>
      </font>
      <protection locked="0" hidden="0"/>
    </dxf>
    <dxf>
      <font>
        <strike val="0"/>
        <outline val="0"/>
        <shadow val="0"/>
        <u val="none"/>
        <vertAlign val="baseline"/>
        <sz val="8"/>
        <color theme="0"/>
        <name val="Dialog"/>
        <scheme val="none"/>
      </font>
      <numFmt numFmtId="0" formatCode="General"/>
      <fill>
        <patternFill patternType="solid">
          <fgColor indexed="64"/>
          <bgColor theme="3" tint="0.39997558519241921"/>
        </patternFill>
      </fill>
    </dxf>
    <dxf>
      <font>
        <strike val="0"/>
        <outline val="0"/>
        <shadow val="0"/>
        <u val="none"/>
        <vertAlign val="baseline"/>
        <sz val="8"/>
        <color theme="1"/>
        <name val="Dialog"/>
        <scheme val="none"/>
      </font>
    </dxf>
    <dxf>
      <font>
        <strike val="0"/>
        <outline val="0"/>
        <shadow val="0"/>
        <u val="none"/>
        <vertAlign val="baseline"/>
        <sz val="8"/>
        <color theme="1"/>
        <name val="Dialog"/>
        <scheme val="none"/>
      </font>
    </dxf>
    <dxf>
      <font>
        <strike val="0"/>
        <outline val="0"/>
        <shadow val="0"/>
        <u val="none"/>
        <vertAlign val="baseline"/>
        <sz val="8"/>
        <color theme="1"/>
        <name val="Dialog"/>
        <scheme val="none"/>
      </font>
      <protection locked="0" hidden="0"/>
    </dxf>
    <dxf>
      <font>
        <strike val="0"/>
        <outline val="0"/>
        <shadow val="0"/>
        <u val="none"/>
        <vertAlign val="baseline"/>
        <sz val="8"/>
        <color theme="1"/>
        <name val="Dialog"/>
        <scheme val="none"/>
      </font>
      <protection locked="0" hidden="0"/>
    </dxf>
    <dxf>
      <font>
        <strike val="0"/>
        <outline val="0"/>
        <shadow val="0"/>
        <u val="none"/>
        <vertAlign val="baseline"/>
        <sz val="8"/>
        <color theme="1"/>
        <name val="Dialog"/>
        <scheme val="none"/>
      </font>
      <protection locked="0" hidden="0"/>
    </dxf>
    <dxf>
      <font>
        <strike val="0"/>
        <outline val="0"/>
        <shadow val="0"/>
        <u val="none"/>
        <vertAlign val="baseline"/>
        <sz val="8"/>
        <color theme="0"/>
        <name val="Dialog"/>
        <scheme val="none"/>
      </font>
      <numFmt numFmtId="0" formatCode="General"/>
      <fill>
        <patternFill patternType="solid">
          <fgColor indexed="64"/>
          <bgColor theme="3" tint="0.39997558519241921"/>
        </patternFill>
      </fill>
      <protection locked="1" hidden="0"/>
    </dxf>
    <dxf>
      <font>
        <strike val="0"/>
        <outline val="0"/>
        <shadow val="0"/>
        <u val="none"/>
        <vertAlign val="baseline"/>
        <sz val="8"/>
        <color theme="1"/>
        <name val="Dialog"/>
        <scheme val="none"/>
      </font>
      <protection locked="0" hidden="0"/>
    </dxf>
    <dxf>
      <font>
        <strike val="0"/>
        <outline val="0"/>
        <shadow val="0"/>
        <u val="none"/>
        <vertAlign val="baseline"/>
        <sz val="8"/>
        <color theme="1"/>
        <name val="Dialog"/>
        <scheme val="none"/>
      </font>
      <protection locked="1" hidden="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customXml" Target="../customXml/item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customXml" Target="../customXml/item2.xml"/><Relationship Id="rId37"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tyles" Target="styles.xml"/><Relationship Id="rId36" Type="http://schemas.openxmlformats.org/officeDocument/2006/relationships/customXml" Target="../customXml/item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theme" Target="theme/theme1.xml"/><Relationship Id="rId30" Type="http://schemas.openxmlformats.org/officeDocument/2006/relationships/calcChain" Target="calcChain.xml"/><Relationship Id="rId35" Type="http://schemas.openxmlformats.org/officeDocument/2006/relationships/customXml" Target="../customXml/item5.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8BD21D40-EC42-11CE-9E0D-00AA006002F3}" ax:persistence="persistStreamInit" r:id="rId1"/>
</file>

<file path=xl/activeX/activeX2.xml><?xml version="1.0" encoding="utf-8"?>
<ax:ocx xmlns:ax="http://schemas.microsoft.com/office/2006/activeX" xmlns:r="http://schemas.openxmlformats.org/officeDocument/2006/relationships" ax:classid="{8BD21D40-EC42-11CE-9E0D-00AA006002F3}" ax:persistence="persistStreamInit" r:id="rId1"/>
</file>

<file path=xl/activeX/activeX3.xml><?xml version="1.0" encoding="utf-8"?>
<ax:ocx xmlns:ax="http://schemas.microsoft.com/office/2006/activeX" xmlns:r="http://schemas.openxmlformats.org/officeDocument/2006/relationships" ax:classid="{8BD21D40-EC42-11CE-9E0D-00AA006002F3}" ax:persistence="persistStreamInit" r:id="rId1"/>
</file>

<file path=xl/activeX/activeX4.xml><?xml version="1.0" encoding="utf-8"?>
<ax:ocx xmlns:ax="http://schemas.microsoft.com/office/2006/activeX" xmlns:r="http://schemas.openxmlformats.org/officeDocument/2006/relationships" ax:classid="{8BD21D40-EC42-11CE-9E0D-00AA006002F3}" ax:persistence="persistStreamInit" r:id="rId1"/>
</file>

<file path=xl/activeX/activeX5.xml><?xml version="1.0" encoding="utf-8"?>
<ax:ocx xmlns:ax="http://schemas.microsoft.com/office/2006/activeX" xmlns:r="http://schemas.openxmlformats.org/officeDocument/2006/relationships" ax:classid="{8BD21D40-EC42-11CE-9E0D-00AA006002F3}" ax:persistence="persistStreamInit" r:id="rI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hyperlink" Target="#'TAB of CONTENTS'!A1"/></Relationships>
</file>

<file path=xl/drawings/_rels/drawing3.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hyperlink" Target="#'TAB of CONTENTS'!A1"/></Relationships>
</file>

<file path=xl/drawings/_rels/drawing4.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hyperlink" Target="#'TAB of CONTENTS'!A1"/></Relationships>
</file>

<file path=xl/drawings/_rels/drawing5.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hyperlink" Target="#'TAB of CONTENTS'!A1"/></Relationships>
</file>

<file path=xl/drawings/_rels/drawing6.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hyperlink" Target="#'TAB of CONTENTS'!A1"/></Relationships>
</file>

<file path=xl/drawings/_rels/drawing7.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hyperlink" Target="#'TAB of CONTENTS'!A1"/></Relationships>
</file>

<file path=xl/drawings/_rels/drawing8.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hyperlink" Target="#'TAB of CONTENTS'!A1"/></Relationships>
</file>

<file path=xl/drawings/_rels/drawing9.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hyperlink" Target="#'TAB of CONTENTS'!A1"/></Relationships>
</file>

<file path=xl/drawings/_rels/drawing10.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hyperlink" Target="#'TAB of CONTENTS'!A1"/></Relationships>
</file>

<file path=xl/drawings/_rels/drawing1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hyperlink" Target="#'TAB of CONTENTS'!A1"/></Relationships>
</file>

<file path=xl/drawings/_rels/drawing12.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hyperlink" Target="#'TAB of CONTENTS'!A1"/></Relationships>
</file>

<file path=xl/drawings/_rels/drawing13.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hyperlink" Target="#'TAB of CONTENTS'!A1"/></Relationships>
</file>

<file path=xl/drawings/_rels/drawing14.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hyperlink" Target="#'TAB of CONTENTS'!A1"/></Relationships>
</file>

<file path=xl/drawings/_rels/drawing15.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hyperlink" Target="#'TAB of CONTENTS'!A1"/></Relationships>
</file>

<file path=xl/drawings/_rels/drawing16.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hyperlink" Target="#'TAB of CONTENTS'!A1"/></Relationships>
</file>

<file path=xl/drawings/_rels/drawing17.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hyperlink" Target="#'TAB of CONTENTS'!A1"/></Relationships>
</file>

<file path=xl/drawings/_rels/drawing18.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hyperlink" Target="#'TAB of CONTENTS'!A1"/></Relationships>
</file>

<file path=xl/drawings/_rels/drawing19.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hyperlink" Target="#'TAB of CONTENTS'!A1"/></Relationships>
</file>

<file path=xl/drawings/_rels/drawing20.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hyperlink" Target="#'TAB of CONTENTS'!A1"/></Relationships>
</file>

<file path=xl/drawings/_rels/drawing2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hyperlink" Target="#'TAB of CONTENTS'!A1"/></Relationships>
</file>

<file path=xl/drawings/_rels/drawing22.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hyperlink" Target="#'TAB of CONTENTS'!A1"/></Relationships>
</file>

<file path=xl/drawings/_rels/vmlDrawing1.vml.rels><?xml version="1.0" encoding="UTF-8" standalone="yes"?>
<Relationships xmlns="http://schemas.openxmlformats.org/package/2006/relationships"><Relationship Id="rId1" Type="http://schemas.openxmlformats.org/officeDocument/2006/relationships/image" Target="../media/image3.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xdr:twoCellAnchor editAs="oneCell">
    <xdr:from>
      <xdr:col>1</xdr:col>
      <xdr:colOff>38099</xdr:colOff>
      <xdr:row>7</xdr:row>
      <xdr:rowOff>9525</xdr:rowOff>
    </xdr:from>
    <xdr:to>
      <xdr:col>12</xdr:col>
      <xdr:colOff>438149</xdr:colOff>
      <xdr:row>15</xdr:row>
      <xdr:rowOff>285211</xdr:rowOff>
    </xdr:to>
    <xdr:pic>
      <xdr:nvPicPr>
        <xdr:cNvPr id="3" name="Image 2">
          <a:extLst>
            <a:ext uri="{FF2B5EF4-FFF2-40B4-BE49-F238E27FC236}">
              <a16:creationId xmlns:a16="http://schemas.microsoft.com/office/drawing/2014/main" id="{00000000-0008-0000-0100-000003000000}"/>
            </a:ext>
          </a:extLst>
        </xdr:cNvPr>
        <xdr:cNvPicPr>
          <a:picLocks noChangeAspect="1"/>
        </xdr:cNvPicPr>
      </xdr:nvPicPr>
      <xdr:blipFill rotWithShape="1">
        <a:blip xmlns:r="http://schemas.openxmlformats.org/officeDocument/2006/relationships" r:embed="rId1"/>
        <a:srcRect l="732" r="511"/>
        <a:stretch/>
      </xdr:blipFill>
      <xdr:spPr>
        <a:xfrm>
          <a:off x="285749" y="2609850"/>
          <a:ext cx="9001125" cy="4314286"/>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oneCellAnchor>
    <xdr:from>
      <xdr:col>0</xdr:col>
      <xdr:colOff>0</xdr:colOff>
      <xdr:row>0</xdr:row>
      <xdr:rowOff>66675</xdr:rowOff>
    </xdr:from>
    <xdr:ext cx="1648989" cy="252396"/>
    <xdr:pic>
      <xdr:nvPicPr>
        <xdr:cNvPr id="4" name="Image 3">
          <a:hlinkClick xmlns:r="http://schemas.openxmlformats.org/officeDocument/2006/relationships" r:id="rId1"/>
          <a:extLst>
            <a:ext uri="{FF2B5EF4-FFF2-40B4-BE49-F238E27FC236}">
              <a16:creationId xmlns:a16="http://schemas.microsoft.com/office/drawing/2014/main" id="{00000000-0008-0000-0400-000004000000}"/>
            </a:ext>
          </a:extLst>
        </xdr:cNvPr>
        <xdr:cNvPicPr>
          <a:picLocks noChangeAspect="1"/>
        </xdr:cNvPicPr>
      </xdr:nvPicPr>
      <xdr:blipFill>
        <a:blip xmlns:r="http://schemas.openxmlformats.org/officeDocument/2006/relationships" r:embed="rId2"/>
        <a:stretch>
          <a:fillRect/>
        </a:stretch>
      </xdr:blipFill>
      <xdr:spPr>
        <a:xfrm>
          <a:off x="0" y="66675"/>
          <a:ext cx="1648989" cy="252396"/>
        </a:xfrm>
        <a:prstGeom prst="rect">
          <a:avLst/>
        </a:prstGeom>
      </xdr:spPr>
    </xdr:pic>
    <xdr:clientData/>
  </xdr:oneCellAnchor>
</xdr:wsDr>
</file>

<file path=xl/drawings/drawing3.xml><?xml version="1.0" encoding="utf-8"?>
<xdr:wsDr xmlns:xdr="http://schemas.openxmlformats.org/drawingml/2006/spreadsheetDrawing" xmlns:a="http://schemas.openxmlformats.org/drawingml/2006/main">
  <xdr:oneCellAnchor>
    <xdr:from>
      <xdr:col>0</xdr:col>
      <xdr:colOff>0</xdr:colOff>
      <xdr:row>0</xdr:row>
      <xdr:rowOff>66675</xdr:rowOff>
    </xdr:from>
    <xdr:ext cx="1648989" cy="252396"/>
    <xdr:pic>
      <xdr:nvPicPr>
        <xdr:cNvPr id="3" name="Image 2">
          <a:hlinkClick xmlns:r="http://schemas.openxmlformats.org/officeDocument/2006/relationships" r:id="rId1"/>
          <a:extLst>
            <a:ext uri="{FF2B5EF4-FFF2-40B4-BE49-F238E27FC236}">
              <a16:creationId xmlns:a16="http://schemas.microsoft.com/office/drawing/2014/main" id="{00000000-0008-0000-0500-000003000000}"/>
            </a:ext>
          </a:extLst>
        </xdr:cNvPr>
        <xdr:cNvPicPr>
          <a:picLocks noChangeAspect="1"/>
        </xdr:cNvPicPr>
      </xdr:nvPicPr>
      <xdr:blipFill>
        <a:blip xmlns:r="http://schemas.openxmlformats.org/officeDocument/2006/relationships" r:embed="rId2"/>
        <a:stretch>
          <a:fillRect/>
        </a:stretch>
      </xdr:blipFill>
      <xdr:spPr>
        <a:xfrm>
          <a:off x="0" y="66675"/>
          <a:ext cx="1648989" cy="252396"/>
        </a:xfrm>
        <a:prstGeom prst="rect">
          <a:avLst/>
        </a:prstGeom>
      </xdr:spPr>
    </xdr:pic>
    <xdr:clientData/>
  </xdr:oneCellAnchor>
</xdr:wsDr>
</file>

<file path=xl/drawings/drawing4.xml><?xml version="1.0" encoding="utf-8"?>
<xdr:wsDr xmlns:xdr="http://schemas.openxmlformats.org/drawingml/2006/spreadsheetDrawing" xmlns:a="http://schemas.openxmlformats.org/drawingml/2006/main">
  <xdr:oneCellAnchor>
    <xdr:from>
      <xdr:col>0</xdr:col>
      <xdr:colOff>0</xdr:colOff>
      <xdr:row>0</xdr:row>
      <xdr:rowOff>66675</xdr:rowOff>
    </xdr:from>
    <xdr:ext cx="1648989" cy="252396"/>
    <xdr:pic>
      <xdr:nvPicPr>
        <xdr:cNvPr id="2" name="Image 1">
          <a:hlinkClick xmlns:r="http://schemas.openxmlformats.org/officeDocument/2006/relationships" r:id="rId1"/>
          <a:extLst>
            <a:ext uri="{FF2B5EF4-FFF2-40B4-BE49-F238E27FC236}">
              <a16:creationId xmlns:a16="http://schemas.microsoft.com/office/drawing/2014/main" id="{00000000-0008-0000-0600-000002000000}"/>
            </a:ext>
          </a:extLst>
        </xdr:cNvPr>
        <xdr:cNvPicPr>
          <a:picLocks noChangeAspect="1"/>
        </xdr:cNvPicPr>
      </xdr:nvPicPr>
      <xdr:blipFill>
        <a:blip xmlns:r="http://schemas.openxmlformats.org/officeDocument/2006/relationships" r:embed="rId2"/>
        <a:stretch>
          <a:fillRect/>
        </a:stretch>
      </xdr:blipFill>
      <xdr:spPr>
        <a:xfrm>
          <a:off x="0" y="66675"/>
          <a:ext cx="1648989" cy="252396"/>
        </a:xfrm>
        <a:prstGeom prst="rect">
          <a:avLst/>
        </a:prstGeom>
      </xdr:spPr>
    </xdr:pic>
    <xdr:clientData/>
  </xdr:oneCellAnchor>
</xdr:wsDr>
</file>

<file path=xl/drawings/drawing5.xml><?xml version="1.0" encoding="utf-8"?>
<xdr:wsDr xmlns:xdr="http://schemas.openxmlformats.org/drawingml/2006/spreadsheetDrawing" xmlns:a="http://schemas.openxmlformats.org/drawingml/2006/main">
  <xdr:oneCellAnchor>
    <xdr:from>
      <xdr:col>0</xdr:col>
      <xdr:colOff>0</xdr:colOff>
      <xdr:row>0</xdr:row>
      <xdr:rowOff>57150</xdr:rowOff>
    </xdr:from>
    <xdr:ext cx="1648989" cy="252396"/>
    <xdr:pic>
      <xdr:nvPicPr>
        <xdr:cNvPr id="3" name="Image 2">
          <a:hlinkClick xmlns:r="http://schemas.openxmlformats.org/officeDocument/2006/relationships" r:id="rId1"/>
          <a:extLst>
            <a:ext uri="{FF2B5EF4-FFF2-40B4-BE49-F238E27FC236}">
              <a16:creationId xmlns:a16="http://schemas.microsoft.com/office/drawing/2014/main" id="{00000000-0008-0000-0700-000003000000}"/>
            </a:ext>
          </a:extLst>
        </xdr:cNvPr>
        <xdr:cNvPicPr>
          <a:picLocks noChangeAspect="1"/>
        </xdr:cNvPicPr>
      </xdr:nvPicPr>
      <xdr:blipFill>
        <a:blip xmlns:r="http://schemas.openxmlformats.org/officeDocument/2006/relationships" r:embed="rId2"/>
        <a:stretch>
          <a:fillRect/>
        </a:stretch>
      </xdr:blipFill>
      <xdr:spPr>
        <a:xfrm>
          <a:off x="0" y="57150"/>
          <a:ext cx="1648989" cy="252396"/>
        </a:xfrm>
        <a:prstGeom prst="rect">
          <a:avLst/>
        </a:prstGeom>
      </xdr:spPr>
    </xdr:pic>
    <xdr:clientData/>
  </xdr:oneCellAnchor>
  <mc:AlternateContent xmlns:mc="http://schemas.openxmlformats.org/markup-compatibility/2006">
    <mc:Choice xmlns:a14="http://schemas.microsoft.com/office/drawing/2010/main" Requires="a14">
      <xdr:twoCellAnchor editAs="oneCell">
        <xdr:from>
          <xdr:col>1</xdr:col>
          <xdr:colOff>847725</xdr:colOff>
          <xdr:row>0</xdr:row>
          <xdr:rowOff>47625</xdr:rowOff>
        </xdr:from>
        <xdr:to>
          <xdr:col>2</xdr:col>
          <xdr:colOff>781050</xdr:colOff>
          <xdr:row>1</xdr:row>
          <xdr:rowOff>123825</xdr:rowOff>
        </xdr:to>
        <xdr:sp macro="" textlink="">
          <xdr:nvSpPr>
            <xdr:cNvPr id="5124" name="CheckBox_dgov_ddomain" hidden="1">
              <a:extLst>
                <a:ext uri="{63B3BB69-23CF-44E3-9099-C40C66FF867C}">
                  <a14:compatExt spid="_x0000_s5124"/>
                </a:ext>
                <a:ext uri="{FF2B5EF4-FFF2-40B4-BE49-F238E27FC236}">
                  <a16:creationId xmlns:a16="http://schemas.microsoft.com/office/drawing/2014/main" id="{00000000-0008-0000-0700-00000414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xdr:oneCellAnchor>
    <xdr:from>
      <xdr:col>0</xdr:col>
      <xdr:colOff>0</xdr:colOff>
      <xdr:row>0</xdr:row>
      <xdr:rowOff>66675</xdr:rowOff>
    </xdr:from>
    <xdr:ext cx="1648989" cy="252396"/>
    <xdr:pic>
      <xdr:nvPicPr>
        <xdr:cNvPr id="2" name="Image 1">
          <a:hlinkClick xmlns:r="http://schemas.openxmlformats.org/officeDocument/2006/relationships" r:id="rId1"/>
          <a:extLst>
            <a:ext uri="{FF2B5EF4-FFF2-40B4-BE49-F238E27FC236}">
              <a16:creationId xmlns:a16="http://schemas.microsoft.com/office/drawing/2014/main" id="{00000000-0008-0000-0800-000002000000}"/>
            </a:ext>
          </a:extLst>
        </xdr:cNvPr>
        <xdr:cNvPicPr>
          <a:picLocks noChangeAspect="1"/>
        </xdr:cNvPicPr>
      </xdr:nvPicPr>
      <xdr:blipFill>
        <a:blip xmlns:r="http://schemas.openxmlformats.org/officeDocument/2006/relationships" r:embed="rId2"/>
        <a:stretch>
          <a:fillRect/>
        </a:stretch>
      </xdr:blipFill>
      <xdr:spPr>
        <a:xfrm>
          <a:off x="0" y="66675"/>
          <a:ext cx="1648989" cy="252396"/>
        </a:xfrm>
        <a:prstGeom prst="rect">
          <a:avLst/>
        </a:prstGeom>
      </xdr:spPr>
    </xdr:pic>
    <xdr:clientData/>
  </xdr:oneCellAnchor>
  <mc:AlternateContent xmlns:mc="http://schemas.openxmlformats.org/markup-compatibility/2006">
    <mc:Choice xmlns:a14="http://schemas.microsoft.com/office/drawing/2010/main" Requires="a14">
      <xdr:twoCellAnchor editAs="oneCell">
        <xdr:from>
          <xdr:col>1</xdr:col>
          <xdr:colOff>1085850</xdr:colOff>
          <xdr:row>0</xdr:row>
          <xdr:rowOff>57150</xdr:rowOff>
        </xdr:from>
        <xdr:to>
          <xdr:col>3</xdr:col>
          <xdr:colOff>9525</xdr:colOff>
          <xdr:row>1</xdr:row>
          <xdr:rowOff>133350</xdr:rowOff>
        </xdr:to>
        <xdr:sp macro="" textlink="">
          <xdr:nvSpPr>
            <xdr:cNvPr id="6148" name="CheckBox_dgov_team" hidden="1">
              <a:extLst>
                <a:ext uri="{63B3BB69-23CF-44E3-9099-C40C66FF867C}">
                  <a14:compatExt spid="_x0000_s6148"/>
                </a:ext>
                <a:ext uri="{FF2B5EF4-FFF2-40B4-BE49-F238E27FC236}">
                  <a16:creationId xmlns:a16="http://schemas.microsoft.com/office/drawing/2014/main" id="{00000000-0008-0000-0800-00000418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xdr:oneCellAnchor>
    <xdr:from>
      <xdr:col>9</xdr:col>
      <xdr:colOff>11206</xdr:colOff>
      <xdr:row>0</xdr:row>
      <xdr:rowOff>56031</xdr:rowOff>
    </xdr:from>
    <xdr:ext cx="1648989" cy="252396"/>
    <xdr:pic>
      <xdr:nvPicPr>
        <xdr:cNvPr id="3" name="Image 2">
          <a:hlinkClick xmlns:r="http://schemas.openxmlformats.org/officeDocument/2006/relationships" r:id="rId1"/>
          <a:extLst>
            <a:ext uri="{FF2B5EF4-FFF2-40B4-BE49-F238E27FC236}">
              <a16:creationId xmlns:a16="http://schemas.microsoft.com/office/drawing/2014/main" id="{00000000-0008-0000-0900-000003000000}"/>
            </a:ext>
          </a:extLst>
        </xdr:cNvPr>
        <xdr:cNvPicPr>
          <a:picLocks noChangeAspect="1"/>
        </xdr:cNvPicPr>
      </xdr:nvPicPr>
      <xdr:blipFill>
        <a:blip xmlns:r="http://schemas.openxmlformats.org/officeDocument/2006/relationships" r:embed="rId2"/>
        <a:stretch>
          <a:fillRect/>
        </a:stretch>
      </xdr:blipFill>
      <xdr:spPr>
        <a:xfrm>
          <a:off x="12281647" y="56031"/>
          <a:ext cx="1648989" cy="252396"/>
        </a:xfrm>
        <a:prstGeom prst="rect">
          <a:avLst/>
        </a:prstGeom>
      </xdr:spPr>
    </xdr:pic>
    <xdr:clientData/>
  </xdr:oneCellAnchor>
</xdr:wsDr>
</file>

<file path=xl/drawings/drawing8.xml><?xml version="1.0" encoding="utf-8"?>
<xdr:wsDr xmlns:xdr="http://schemas.openxmlformats.org/drawingml/2006/spreadsheetDrawing" xmlns:a="http://schemas.openxmlformats.org/drawingml/2006/main">
  <xdr:oneCellAnchor>
    <xdr:from>
      <xdr:col>0</xdr:col>
      <xdr:colOff>0</xdr:colOff>
      <xdr:row>0</xdr:row>
      <xdr:rowOff>76200</xdr:rowOff>
    </xdr:from>
    <xdr:ext cx="1648989" cy="252396"/>
    <xdr:pic>
      <xdr:nvPicPr>
        <xdr:cNvPr id="2" name="Image 1">
          <a:hlinkClick xmlns:r="http://schemas.openxmlformats.org/officeDocument/2006/relationships" r:id="rId1"/>
          <a:extLst>
            <a:ext uri="{FF2B5EF4-FFF2-40B4-BE49-F238E27FC236}">
              <a16:creationId xmlns:a16="http://schemas.microsoft.com/office/drawing/2014/main" id="{00000000-0008-0000-0B00-000002000000}"/>
            </a:ext>
          </a:extLst>
        </xdr:cNvPr>
        <xdr:cNvPicPr>
          <a:picLocks noChangeAspect="1"/>
        </xdr:cNvPicPr>
      </xdr:nvPicPr>
      <xdr:blipFill>
        <a:blip xmlns:r="http://schemas.openxmlformats.org/officeDocument/2006/relationships" r:embed="rId2"/>
        <a:stretch>
          <a:fillRect/>
        </a:stretch>
      </xdr:blipFill>
      <xdr:spPr>
        <a:xfrm>
          <a:off x="0" y="76200"/>
          <a:ext cx="1648989" cy="252396"/>
        </a:xfrm>
        <a:prstGeom prst="rect">
          <a:avLst/>
        </a:prstGeom>
      </xdr:spPr>
    </xdr:pic>
    <xdr:clientData/>
  </xdr:oneCellAnchor>
  <mc:AlternateContent xmlns:mc="http://schemas.openxmlformats.org/markup-compatibility/2006">
    <mc:Choice xmlns:a14="http://schemas.microsoft.com/office/drawing/2010/main" Requires="a14">
      <xdr:twoCellAnchor editAs="oneCell">
        <xdr:from>
          <xdr:col>2</xdr:col>
          <xdr:colOff>38100</xdr:colOff>
          <xdr:row>0</xdr:row>
          <xdr:rowOff>57150</xdr:rowOff>
        </xdr:from>
        <xdr:to>
          <xdr:col>2</xdr:col>
          <xdr:colOff>1743075</xdr:colOff>
          <xdr:row>1</xdr:row>
          <xdr:rowOff>133350</xdr:rowOff>
        </xdr:to>
        <xdr:sp macro="" textlink="">
          <xdr:nvSpPr>
            <xdr:cNvPr id="45057" name="Checkbox_acord_dobj" hidden="1">
              <a:extLst>
                <a:ext uri="{63B3BB69-23CF-44E3-9099-C40C66FF867C}">
                  <a14:compatExt spid="_x0000_s45057"/>
                </a:ext>
                <a:ext uri="{FF2B5EF4-FFF2-40B4-BE49-F238E27FC236}">
                  <a16:creationId xmlns:a16="http://schemas.microsoft.com/office/drawing/2014/main" id="{00000000-0008-0000-0B00-000001B0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xdr:oneCellAnchor>
    <xdr:from>
      <xdr:col>0</xdr:col>
      <xdr:colOff>0</xdr:colOff>
      <xdr:row>0</xdr:row>
      <xdr:rowOff>76200</xdr:rowOff>
    </xdr:from>
    <xdr:ext cx="1648989" cy="252396"/>
    <xdr:pic>
      <xdr:nvPicPr>
        <xdr:cNvPr id="3" name="Image 2">
          <a:hlinkClick xmlns:r="http://schemas.openxmlformats.org/officeDocument/2006/relationships" r:id="rId1"/>
          <a:extLst>
            <a:ext uri="{FF2B5EF4-FFF2-40B4-BE49-F238E27FC236}">
              <a16:creationId xmlns:a16="http://schemas.microsoft.com/office/drawing/2014/main" id="{00000000-0008-0000-0C00-000003000000}"/>
            </a:ext>
          </a:extLst>
        </xdr:cNvPr>
        <xdr:cNvPicPr>
          <a:picLocks noChangeAspect="1"/>
        </xdr:cNvPicPr>
      </xdr:nvPicPr>
      <xdr:blipFill>
        <a:blip xmlns:r="http://schemas.openxmlformats.org/officeDocument/2006/relationships" r:embed="rId2"/>
        <a:stretch>
          <a:fillRect/>
        </a:stretch>
      </xdr:blipFill>
      <xdr:spPr>
        <a:xfrm>
          <a:off x="0" y="76200"/>
          <a:ext cx="1648989" cy="252396"/>
        </a:xfrm>
        <a:prstGeom prst="rect">
          <a:avLst/>
        </a:prstGeom>
      </xdr:spPr>
    </xdr:pic>
    <xdr:clientData/>
  </xdr:oneCellAnchor>
  <mc:AlternateContent xmlns:mc="http://schemas.openxmlformats.org/markup-compatibility/2006">
    <mc:Choice xmlns:a14="http://schemas.microsoft.com/office/drawing/2010/main" Requires="a14">
      <xdr:twoCellAnchor editAs="oneCell">
        <xdr:from>
          <xdr:col>2</xdr:col>
          <xdr:colOff>57150</xdr:colOff>
          <xdr:row>0</xdr:row>
          <xdr:rowOff>57150</xdr:rowOff>
        </xdr:from>
        <xdr:to>
          <xdr:col>2</xdr:col>
          <xdr:colOff>1762125</xdr:colOff>
          <xdr:row>1</xdr:row>
          <xdr:rowOff>133350</xdr:rowOff>
        </xdr:to>
        <xdr:sp macro="" textlink="">
          <xdr:nvSpPr>
            <xdr:cNvPr id="18433" name="Checkbox_acord_delt" hidden="1">
              <a:extLst>
                <a:ext uri="{63B3BB69-23CF-44E3-9099-C40C66FF867C}">
                  <a14:compatExt spid="_x0000_s18433"/>
                </a:ext>
                <a:ext uri="{FF2B5EF4-FFF2-40B4-BE49-F238E27FC236}">
                  <a16:creationId xmlns:a16="http://schemas.microsoft.com/office/drawing/2014/main" id="{00000000-0008-0000-0C00-00000148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xdr:oneCellAnchor>
    <xdr:from>
      <xdr:col>0</xdr:col>
      <xdr:colOff>0</xdr:colOff>
      <xdr:row>0</xdr:row>
      <xdr:rowOff>76200</xdr:rowOff>
    </xdr:from>
    <xdr:ext cx="1648989" cy="252396"/>
    <xdr:pic>
      <xdr:nvPicPr>
        <xdr:cNvPr id="4" name="Image 3">
          <a:hlinkClick xmlns:r="http://schemas.openxmlformats.org/officeDocument/2006/relationships" r:id="rId1"/>
          <a:extLst>
            <a:ext uri="{FF2B5EF4-FFF2-40B4-BE49-F238E27FC236}">
              <a16:creationId xmlns:a16="http://schemas.microsoft.com/office/drawing/2014/main" id="{00000000-0008-0000-0D00-000004000000}"/>
            </a:ext>
          </a:extLst>
        </xdr:cNvPr>
        <xdr:cNvPicPr>
          <a:picLocks noChangeAspect="1"/>
        </xdr:cNvPicPr>
      </xdr:nvPicPr>
      <xdr:blipFill>
        <a:blip xmlns:r="http://schemas.openxmlformats.org/officeDocument/2006/relationships" r:embed="rId2"/>
        <a:stretch>
          <a:fillRect/>
        </a:stretch>
      </xdr:blipFill>
      <xdr:spPr>
        <a:xfrm>
          <a:off x="0" y="76200"/>
          <a:ext cx="1648989" cy="252396"/>
        </a:xfrm>
        <a:prstGeom prst="rect">
          <a:avLst/>
        </a:prstGeom>
      </xdr:spPr>
    </xdr:pic>
    <xdr:clientData/>
  </xdr:oneCellAnchor>
</xdr:wsDr>
</file>

<file path=xl/drawings/drawing11.xml><?xml version="1.0" encoding="utf-8"?>
<xdr:wsDr xmlns:xdr="http://schemas.openxmlformats.org/drawingml/2006/spreadsheetDrawing" xmlns:a="http://schemas.openxmlformats.org/drawingml/2006/main">
  <xdr:oneCellAnchor>
    <xdr:from>
      <xdr:col>0</xdr:col>
      <xdr:colOff>0</xdr:colOff>
      <xdr:row>0</xdr:row>
      <xdr:rowOff>76200</xdr:rowOff>
    </xdr:from>
    <xdr:ext cx="1648989" cy="252396"/>
    <xdr:pic>
      <xdr:nvPicPr>
        <xdr:cNvPr id="4" name="Image 3">
          <a:hlinkClick xmlns:r="http://schemas.openxmlformats.org/officeDocument/2006/relationships" r:id="rId1"/>
          <a:extLst>
            <a:ext uri="{FF2B5EF4-FFF2-40B4-BE49-F238E27FC236}">
              <a16:creationId xmlns:a16="http://schemas.microsoft.com/office/drawing/2014/main" id="{00000000-0008-0000-0E00-000004000000}"/>
            </a:ext>
          </a:extLst>
        </xdr:cNvPr>
        <xdr:cNvPicPr>
          <a:picLocks noChangeAspect="1"/>
        </xdr:cNvPicPr>
      </xdr:nvPicPr>
      <xdr:blipFill>
        <a:blip xmlns:r="http://schemas.openxmlformats.org/officeDocument/2006/relationships" r:embed="rId2"/>
        <a:stretch>
          <a:fillRect/>
        </a:stretch>
      </xdr:blipFill>
      <xdr:spPr>
        <a:xfrm>
          <a:off x="0" y="76200"/>
          <a:ext cx="1648989" cy="252396"/>
        </a:xfrm>
        <a:prstGeom prst="rect">
          <a:avLst/>
        </a:prstGeom>
      </xdr:spPr>
    </xdr:pic>
    <xdr:clientData/>
  </xdr:oneCellAnchor>
</xdr:wsDr>
</file>

<file path=xl/drawings/drawing12.xml><?xml version="1.0" encoding="utf-8"?>
<xdr:wsDr xmlns:xdr="http://schemas.openxmlformats.org/drawingml/2006/spreadsheetDrawing" xmlns:a="http://schemas.openxmlformats.org/drawingml/2006/main">
  <xdr:oneCellAnchor>
    <xdr:from>
      <xdr:col>0</xdr:col>
      <xdr:colOff>0</xdr:colOff>
      <xdr:row>0</xdr:row>
      <xdr:rowOff>66675</xdr:rowOff>
    </xdr:from>
    <xdr:ext cx="1648989" cy="252396"/>
    <xdr:pic>
      <xdr:nvPicPr>
        <xdr:cNvPr id="4" name="Image 3">
          <a:hlinkClick xmlns:r="http://schemas.openxmlformats.org/officeDocument/2006/relationships" r:id="rId1"/>
          <a:extLst>
            <a:ext uri="{FF2B5EF4-FFF2-40B4-BE49-F238E27FC236}">
              <a16:creationId xmlns:a16="http://schemas.microsoft.com/office/drawing/2014/main" id="{00000000-0008-0000-0F00-000004000000}"/>
            </a:ext>
          </a:extLst>
        </xdr:cNvPr>
        <xdr:cNvPicPr>
          <a:picLocks noChangeAspect="1"/>
        </xdr:cNvPicPr>
      </xdr:nvPicPr>
      <xdr:blipFill>
        <a:blip xmlns:r="http://schemas.openxmlformats.org/officeDocument/2006/relationships" r:embed="rId2"/>
        <a:stretch>
          <a:fillRect/>
        </a:stretch>
      </xdr:blipFill>
      <xdr:spPr>
        <a:xfrm>
          <a:off x="0" y="66675"/>
          <a:ext cx="1648989" cy="252396"/>
        </a:xfrm>
        <a:prstGeom prst="rect">
          <a:avLst/>
        </a:prstGeom>
      </xdr:spPr>
    </xdr:pic>
    <xdr:clientData/>
  </xdr:oneCellAnchor>
  <mc:AlternateContent xmlns:mc="http://schemas.openxmlformats.org/markup-compatibility/2006">
    <mc:Choice xmlns:a14="http://schemas.microsoft.com/office/drawing/2010/main" Requires="a14">
      <xdr:twoCellAnchor editAs="oneCell">
        <xdr:from>
          <xdr:col>1</xdr:col>
          <xdr:colOff>485775</xdr:colOff>
          <xdr:row>0</xdr:row>
          <xdr:rowOff>57150</xdr:rowOff>
        </xdr:from>
        <xdr:to>
          <xdr:col>3</xdr:col>
          <xdr:colOff>47625</xdr:colOff>
          <xdr:row>1</xdr:row>
          <xdr:rowOff>133350</xdr:rowOff>
        </xdr:to>
        <xdr:sp macro="" textlink="">
          <xdr:nvSpPr>
            <xdr:cNvPr id="51207" name="CheckBox_dgov_dbase" hidden="1">
              <a:extLst>
                <a:ext uri="{63B3BB69-23CF-44E3-9099-C40C66FF867C}">
                  <a14:compatExt spid="_x0000_s51207"/>
                </a:ext>
                <a:ext uri="{FF2B5EF4-FFF2-40B4-BE49-F238E27FC236}">
                  <a16:creationId xmlns:a16="http://schemas.microsoft.com/office/drawing/2014/main" id="{00000000-0008-0000-0F00-000007C8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xdr:oneCellAnchor>
    <xdr:from>
      <xdr:col>0</xdr:col>
      <xdr:colOff>0</xdr:colOff>
      <xdr:row>0</xdr:row>
      <xdr:rowOff>76200</xdr:rowOff>
    </xdr:from>
    <xdr:ext cx="1648989" cy="252396"/>
    <xdr:pic>
      <xdr:nvPicPr>
        <xdr:cNvPr id="7" name="Image 6">
          <a:hlinkClick xmlns:r="http://schemas.openxmlformats.org/officeDocument/2006/relationships" r:id="rId1"/>
          <a:extLst>
            <a:ext uri="{FF2B5EF4-FFF2-40B4-BE49-F238E27FC236}">
              <a16:creationId xmlns:a16="http://schemas.microsoft.com/office/drawing/2014/main" id="{00000000-0008-0000-1000-000007000000}"/>
            </a:ext>
          </a:extLst>
        </xdr:cNvPr>
        <xdr:cNvPicPr>
          <a:picLocks noChangeAspect="1"/>
        </xdr:cNvPicPr>
      </xdr:nvPicPr>
      <xdr:blipFill>
        <a:blip xmlns:r="http://schemas.openxmlformats.org/officeDocument/2006/relationships" r:embed="rId2"/>
        <a:stretch>
          <a:fillRect/>
        </a:stretch>
      </xdr:blipFill>
      <xdr:spPr>
        <a:xfrm>
          <a:off x="0" y="76200"/>
          <a:ext cx="1648989" cy="252396"/>
        </a:xfrm>
        <a:prstGeom prst="rect">
          <a:avLst/>
        </a:prstGeom>
      </xdr:spPr>
    </xdr:pic>
    <xdr:clientData/>
  </xdr:oneCellAnchor>
</xdr:wsDr>
</file>

<file path=xl/drawings/drawing14.xml><?xml version="1.0" encoding="utf-8"?>
<xdr:wsDr xmlns:xdr="http://schemas.openxmlformats.org/drawingml/2006/spreadsheetDrawing" xmlns:a="http://schemas.openxmlformats.org/drawingml/2006/main">
  <xdr:oneCellAnchor>
    <xdr:from>
      <xdr:col>0</xdr:col>
      <xdr:colOff>0</xdr:colOff>
      <xdr:row>0</xdr:row>
      <xdr:rowOff>76200</xdr:rowOff>
    </xdr:from>
    <xdr:ext cx="1648989" cy="252396"/>
    <xdr:pic>
      <xdr:nvPicPr>
        <xdr:cNvPr id="8" name="Image 7">
          <a:hlinkClick xmlns:r="http://schemas.openxmlformats.org/officeDocument/2006/relationships" r:id="rId1"/>
          <a:extLst>
            <a:ext uri="{FF2B5EF4-FFF2-40B4-BE49-F238E27FC236}">
              <a16:creationId xmlns:a16="http://schemas.microsoft.com/office/drawing/2014/main" id="{00000000-0008-0000-1100-000008000000}"/>
            </a:ext>
          </a:extLst>
        </xdr:cNvPr>
        <xdr:cNvPicPr>
          <a:picLocks noChangeAspect="1"/>
        </xdr:cNvPicPr>
      </xdr:nvPicPr>
      <xdr:blipFill>
        <a:blip xmlns:r="http://schemas.openxmlformats.org/officeDocument/2006/relationships" r:embed="rId2"/>
        <a:stretch>
          <a:fillRect/>
        </a:stretch>
      </xdr:blipFill>
      <xdr:spPr>
        <a:xfrm>
          <a:off x="0" y="76200"/>
          <a:ext cx="1648989" cy="252396"/>
        </a:xfrm>
        <a:prstGeom prst="rect">
          <a:avLst/>
        </a:prstGeom>
      </xdr:spPr>
    </xdr:pic>
    <xdr:clientData/>
  </xdr:oneCellAnchor>
</xdr:wsDr>
</file>

<file path=xl/drawings/drawing15.xml><?xml version="1.0" encoding="utf-8"?>
<xdr:wsDr xmlns:xdr="http://schemas.openxmlformats.org/drawingml/2006/spreadsheetDrawing" xmlns:a="http://schemas.openxmlformats.org/drawingml/2006/main">
  <xdr:oneCellAnchor>
    <xdr:from>
      <xdr:col>0</xdr:col>
      <xdr:colOff>0</xdr:colOff>
      <xdr:row>0</xdr:row>
      <xdr:rowOff>66675</xdr:rowOff>
    </xdr:from>
    <xdr:ext cx="1648989" cy="252396"/>
    <xdr:pic>
      <xdr:nvPicPr>
        <xdr:cNvPr id="3" name="Image 2">
          <a:hlinkClick xmlns:r="http://schemas.openxmlformats.org/officeDocument/2006/relationships" r:id="rId1"/>
          <a:extLst>
            <a:ext uri="{FF2B5EF4-FFF2-40B4-BE49-F238E27FC236}">
              <a16:creationId xmlns:a16="http://schemas.microsoft.com/office/drawing/2014/main" id="{00000000-0008-0000-1200-000003000000}"/>
            </a:ext>
          </a:extLst>
        </xdr:cNvPr>
        <xdr:cNvPicPr>
          <a:picLocks noChangeAspect="1"/>
        </xdr:cNvPicPr>
      </xdr:nvPicPr>
      <xdr:blipFill>
        <a:blip xmlns:r="http://schemas.openxmlformats.org/officeDocument/2006/relationships" r:embed="rId2"/>
        <a:stretch>
          <a:fillRect/>
        </a:stretch>
      </xdr:blipFill>
      <xdr:spPr>
        <a:xfrm>
          <a:off x="0" y="66675"/>
          <a:ext cx="1648989" cy="252396"/>
        </a:xfrm>
        <a:prstGeom prst="rect">
          <a:avLst/>
        </a:prstGeom>
      </xdr:spPr>
    </xdr:pic>
    <xdr:clientData/>
  </xdr:oneCellAnchor>
</xdr:wsDr>
</file>

<file path=xl/drawings/drawing16.xml><?xml version="1.0" encoding="utf-8"?>
<xdr:wsDr xmlns:xdr="http://schemas.openxmlformats.org/drawingml/2006/spreadsheetDrawing" xmlns:a="http://schemas.openxmlformats.org/drawingml/2006/main">
  <xdr:oneCellAnchor>
    <xdr:from>
      <xdr:col>0</xdr:col>
      <xdr:colOff>0</xdr:colOff>
      <xdr:row>0</xdr:row>
      <xdr:rowOff>76200</xdr:rowOff>
    </xdr:from>
    <xdr:ext cx="1648989" cy="252396"/>
    <xdr:pic>
      <xdr:nvPicPr>
        <xdr:cNvPr id="3" name="Image 2">
          <a:hlinkClick xmlns:r="http://schemas.openxmlformats.org/officeDocument/2006/relationships" r:id="rId1"/>
          <a:extLst>
            <a:ext uri="{FF2B5EF4-FFF2-40B4-BE49-F238E27FC236}">
              <a16:creationId xmlns:a16="http://schemas.microsoft.com/office/drawing/2014/main" id="{00000000-0008-0000-1300-000003000000}"/>
            </a:ext>
          </a:extLst>
        </xdr:cNvPr>
        <xdr:cNvPicPr>
          <a:picLocks noChangeAspect="1"/>
        </xdr:cNvPicPr>
      </xdr:nvPicPr>
      <xdr:blipFill>
        <a:blip xmlns:r="http://schemas.openxmlformats.org/officeDocument/2006/relationships" r:embed="rId2"/>
        <a:stretch>
          <a:fillRect/>
        </a:stretch>
      </xdr:blipFill>
      <xdr:spPr>
        <a:xfrm>
          <a:off x="0" y="76200"/>
          <a:ext cx="1648989" cy="252396"/>
        </a:xfrm>
        <a:prstGeom prst="rect">
          <a:avLst/>
        </a:prstGeom>
      </xdr:spPr>
    </xdr:pic>
    <xdr:clientData/>
  </xdr:oneCellAnchor>
</xdr:wsDr>
</file>

<file path=xl/drawings/drawing17.xml><?xml version="1.0" encoding="utf-8"?>
<xdr:wsDr xmlns:xdr="http://schemas.openxmlformats.org/drawingml/2006/spreadsheetDrawing" xmlns:a="http://schemas.openxmlformats.org/drawingml/2006/main">
  <xdr:oneCellAnchor>
    <xdr:from>
      <xdr:col>0</xdr:col>
      <xdr:colOff>0</xdr:colOff>
      <xdr:row>0</xdr:row>
      <xdr:rowOff>76200</xdr:rowOff>
    </xdr:from>
    <xdr:ext cx="1648989" cy="252396"/>
    <xdr:pic>
      <xdr:nvPicPr>
        <xdr:cNvPr id="3" name="Image 2">
          <a:hlinkClick xmlns:r="http://schemas.openxmlformats.org/officeDocument/2006/relationships" r:id="rId1"/>
          <a:extLst>
            <a:ext uri="{FF2B5EF4-FFF2-40B4-BE49-F238E27FC236}">
              <a16:creationId xmlns:a16="http://schemas.microsoft.com/office/drawing/2014/main" id="{00000000-0008-0000-1400-000003000000}"/>
            </a:ext>
          </a:extLst>
        </xdr:cNvPr>
        <xdr:cNvPicPr>
          <a:picLocks noChangeAspect="1"/>
        </xdr:cNvPicPr>
      </xdr:nvPicPr>
      <xdr:blipFill>
        <a:blip xmlns:r="http://schemas.openxmlformats.org/officeDocument/2006/relationships" r:embed="rId2"/>
        <a:stretch>
          <a:fillRect/>
        </a:stretch>
      </xdr:blipFill>
      <xdr:spPr>
        <a:xfrm>
          <a:off x="0" y="76200"/>
          <a:ext cx="1648989" cy="252396"/>
        </a:xfrm>
        <a:prstGeom prst="rect">
          <a:avLst/>
        </a:prstGeom>
      </xdr:spPr>
    </xdr:pic>
    <xdr:clientData/>
  </xdr:oneCellAnchor>
</xdr:wsDr>
</file>

<file path=xl/drawings/drawing18.xml><?xml version="1.0" encoding="utf-8"?>
<xdr:wsDr xmlns:xdr="http://schemas.openxmlformats.org/drawingml/2006/spreadsheetDrawing" xmlns:a="http://schemas.openxmlformats.org/drawingml/2006/main">
  <xdr:oneCellAnchor>
    <xdr:from>
      <xdr:col>0</xdr:col>
      <xdr:colOff>0</xdr:colOff>
      <xdr:row>0</xdr:row>
      <xdr:rowOff>66675</xdr:rowOff>
    </xdr:from>
    <xdr:ext cx="1648989" cy="252396"/>
    <xdr:pic>
      <xdr:nvPicPr>
        <xdr:cNvPr id="2" name="Image 1">
          <a:hlinkClick xmlns:r="http://schemas.openxmlformats.org/officeDocument/2006/relationships" r:id="rId1"/>
          <a:extLst>
            <a:ext uri="{FF2B5EF4-FFF2-40B4-BE49-F238E27FC236}">
              <a16:creationId xmlns:a16="http://schemas.microsoft.com/office/drawing/2014/main" id="{00000000-0008-0000-1500-000002000000}"/>
            </a:ext>
          </a:extLst>
        </xdr:cNvPr>
        <xdr:cNvPicPr>
          <a:picLocks noChangeAspect="1"/>
        </xdr:cNvPicPr>
      </xdr:nvPicPr>
      <xdr:blipFill>
        <a:blip xmlns:r="http://schemas.openxmlformats.org/officeDocument/2006/relationships" r:embed="rId2"/>
        <a:stretch>
          <a:fillRect/>
        </a:stretch>
      </xdr:blipFill>
      <xdr:spPr>
        <a:xfrm>
          <a:off x="0" y="66675"/>
          <a:ext cx="1648989" cy="252396"/>
        </a:xfrm>
        <a:prstGeom prst="rect">
          <a:avLst/>
        </a:prstGeom>
      </xdr:spPr>
    </xdr:pic>
    <xdr:clientData/>
  </xdr:oneCellAnchor>
</xdr:wsDr>
</file>

<file path=xl/drawings/drawing19.xml><?xml version="1.0" encoding="utf-8"?>
<xdr:wsDr xmlns:xdr="http://schemas.openxmlformats.org/drawingml/2006/spreadsheetDrawing" xmlns:a="http://schemas.openxmlformats.org/drawingml/2006/main">
  <xdr:oneCellAnchor>
    <xdr:from>
      <xdr:col>0</xdr:col>
      <xdr:colOff>0</xdr:colOff>
      <xdr:row>0</xdr:row>
      <xdr:rowOff>66675</xdr:rowOff>
    </xdr:from>
    <xdr:ext cx="1648989" cy="252396"/>
    <xdr:pic>
      <xdr:nvPicPr>
        <xdr:cNvPr id="3" name="Image 2">
          <a:hlinkClick xmlns:r="http://schemas.openxmlformats.org/officeDocument/2006/relationships" r:id="rId1"/>
          <a:extLst>
            <a:ext uri="{FF2B5EF4-FFF2-40B4-BE49-F238E27FC236}">
              <a16:creationId xmlns:a16="http://schemas.microsoft.com/office/drawing/2014/main" id="{00000000-0008-0000-1600-000003000000}"/>
            </a:ext>
          </a:extLst>
        </xdr:cNvPr>
        <xdr:cNvPicPr>
          <a:picLocks noChangeAspect="1"/>
        </xdr:cNvPicPr>
      </xdr:nvPicPr>
      <xdr:blipFill>
        <a:blip xmlns:r="http://schemas.openxmlformats.org/officeDocument/2006/relationships" r:embed="rId2"/>
        <a:stretch>
          <a:fillRect/>
        </a:stretch>
      </xdr:blipFill>
      <xdr:spPr>
        <a:xfrm>
          <a:off x="0" y="66675"/>
          <a:ext cx="1648989" cy="252396"/>
        </a:xfrm>
        <a:prstGeom prst="rect">
          <a:avLst/>
        </a:prstGeom>
      </xdr:spPr>
    </xdr:pic>
    <xdr:clientData/>
  </xdr:oneCellAnchor>
</xdr:wsDr>
</file>

<file path=xl/drawings/drawing20.xml><?xml version="1.0" encoding="utf-8"?>
<xdr:wsDr xmlns:xdr="http://schemas.openxmlformats.org/drawingml/2006/spreadsheetDrawing" xmlns:a="http://schemas.openxmlformats.org/drawingml/2006/main">
  <xdr:oneCellAnchor>
    <xdr:from>
      <xdr:col>0</xdr:col>
      <xdr:colOff>0</xdr:colOff>
      <xdr:row>0</xdr:row>
      <xdr:rowOff>66675</xdr:rowOff>
    </xdr:from>
    <xdr:ext cx="1648989" cy="252396"/>
    <xdr:pic>
      <xdr:nvPicPr>
        <xdr:cNvPr id="3" name="Image 2">
          <a:hlinkClick xmlns:r="http://schemas.openxmlformats.org/officeDocument/2006/relationships" r:id="rId1"/>
          <a:extLst>
            <a:ext uri="{FF2B5EF4-FFF2-40B4-BE49-F238E27FC236}">
              <a16:creationId xmlns:a16="http://schemas.microsoft.com/office/drawing/2014/main" id="{00000000-0008-0000-1700-000003000000}"/>
            </a:ext>
          </a:extLst>
        </xdr:cNvPr>
        <xdr:cNvPicPr>
          <a:picLocks noChangeAspect="1"/>
        </xdr:cNvPicPr>
      </xdr:nvPicPr>
      <xdr:blipFill>
        <a:blip xmlns:r="http://schemas.openxmlformats.org/officeDocument/2006/relationships" r:embed="rId2"/>
        <a:stretch>
          <a:fillRect/>
        </a:stretch>
      </xdr:blipFill>
      <xdr:spPr>
        <a:xfrm>
          <a:off x="0" y="66675"/>
          <a:ext cx="1648989" cy="252396"/>
        </a:xfrm>
        <a:prstGeom prst="rect">
          <a:avLst/>
        </a:prstGeom>
      </xdr:spPr>
    </xdr:pic>
    <xdr:clientData/>
  </xdr:oneCellAnchor>
</xdr:wsDr>
</file>

<file path=xl/drawings/drawing21.xml><?xml version="1.0" encoding="utf-8"?>
<xdr:wsDr xmlns:xdr="http://schemas.openxmlformats.org/drawingml/2006/spreadsheetDrawing" xmlns:a="http://schemas.openxmlformats.org/drawingml/2006/main">
  <xdr:oneCellAnchor>
    <xdr:from>
      <xdr:col>0</xdr:col>
      <xdr:colOff>0</xdr:colOff>
      <xdr:row>0</xdr:row>
      <xdr:rowOff>66675</xdr:rowOff>
    </xdr:from>
    <xdr:ext cx="1648989" cy="252396"/>
    <xdr:pic>
      <xdr:nvPicPr>
        <xdr:cNvPr id="3" name="Image 2">
          <a:hlinkClick xmlns:r="http://schemas.openxmlformats.org/officeDocument/2006/relationships" r:id="rId1"/>
          <a:extLst>
            <a:ext uri="{FF2B5EF4-FFF2-40B4-BE49-F238E27FC236}">
              <a16:creationId xmlns:a16="http://schemas.microsoft.com/office/drawing/2014/main" id="{00000000-0008-0000-1800-000003000000}"/>
            </a:ext>
          </a:extLst>
        </xdr:cNvPr>
        <xdr:cNvPicPr>
          <a:picLocks noChangeAspect="1"/>
        </xdr:cNvPicPr>
      </xdr:nvPicPr>
      <xdr:blipFill>
        <a:blip xmlns:r="http://schemas.openxmlformats.org/officeDocument/2006/relationships" r:embed="rId2"/>
        <a:stretch>
          <a:fillRect/>
        </a:stretch>
      </xdr:blipFill>
      <xdr:spPr>
        <a:xfrm>
          <a:off x="0" y="66675"/>
          <a:ext cx="1648989" cy="252396"/>
        </a:xfrm>
        <a:prstGeom prst="rect">
          <a:avLst/>
        </a:prstGeom>
      </xdr:spPr>
    </xdr:pic>
    <xdr:clientData/>
  </xdr:oneCellAnchor>
</xdr:wsDr>
</file>

<file path=xl/drawings/drawing22.xml><?xml version="1.0" encoding="utf-8"?>
<xdr:wsDr xmlns:xdr="http://schemas.openxmlformats.org/drawingml/2006/spreadsheetDrawing" xmlns:a="http://schemas.openxmlformats.org/drawingml/2006/main">
  <xdr:oneCellAnchor>
    <xdr:from>
      <xdr:col>0</xdr:col>
      <xdr:colOff>0</xdr:colOff>
      <xdr:row>0</xdr:row>
      <xdr:rowOff>66675</xdr:rowOff>
    </xdr:from>
    <xdr:ext cx="1648989" cy="252396"/>
    <xdr:pic>
      <xdr:nvPicPr>
        <xdr:cNvPr id="3" name="Image 2">
          <a:hlinkClick xmlns:r="http://schemas.openxmlformats.org/officeDocument/2006/relationships" r:id="rId1"/>
          <a:extLst>
            <a:ext uri="{FF2B5EF4-FFF2-40B4-BE49-F238E27FC236}">
              <a16:creationId xmlns:a16="http://schemas.microsoft.com/office/drawing/2014/main" id="{00000000-0008-0000-1900-000003000000}"/>
            </a:ext>
          </a:extLst>
        </xdr:cNvPr>
        <xdr:cNvPicPr>
          <a:picLocks noChangeAspect="1"/>
        </xdr:cNvPicPr>
      </xdr:nvPicPr>
      <xdr:blipFill>
        <a:blip xmlns:r="http://schemas.openxmlformats.org/officeDocument/2006/relationships" r:embed="rId2"/>
        <a:stretch>
          <a:fillRect/>
        </a:stretch>
      </xdr:blipFill>
      <xdr:spPr>
        <a:xfrm>
          <a:off x="0" y="66675"/>
          <a:ext cx="1648989" cy="252396"/>
        </a:xfrm>
        <a:prstGeom prst="rect">
          <a:avLst/>
        </a:prstGeom>
      </xdr:spPr>
    </xdr:pic>
    <xdr:clientData/>
  </xdr:one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8B6FDB19-78F8-46F1-BC6B-1A673E80F9F6}" name="SUBJECT_AREA" displayName="SUBJECT_AREA" ref="A3:D115" totalsRowShown="0" headerRowDxfId="214" dataDxfId="213">
  <autoFilter ref="A3:D115" xr:uid="{210B7483-2C6F-48E1-BEEC-C9C42FEEFDB1}"/>
  <tableColumns count="4">
    <tableColumn id="1" xr3:uid="{5142FFDC-1A03-42DC-A910-238C40070354}" name="ID" dataDxfId="212">
      <calculatedColumnFormula>IF(ISBLANK(SUBJECT_AREA[Reference]),TEXT(ROW(SUBJECT_AREA[[#This Row],[Reference]]),"00000")&amp;"|--",TEXT(ROW(SUBJECT_AREA[[#This Row],[Reference]]),"00000")&amp;"|"&amp;SUBJECT_AREA[[#This Row],[Name]])</calculatedColumnFormula>
    </tableColumn>
    <tableColumn id="2" xr3:uid="{D0C81795-AECF-49D2-AE56-E7157773FD94}" name="Reference" dataDxfId="211"/>
    <tableColumn id="3" xr3:uid="{347D6B92-254E-4948-9E01-D9D3BB5D017F}" name="Name" dataDxfId="210"/>
    <tableColumn id="4" xr3:uid="{FBAE23BF-207D-4E35-B6EE-F46BC19754A2}" name="Description" dataDxfId="209"/>
  </tableColumns>
  <tableStyleInfo name="TableStyleMedium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21EE9359-D632-4F40-9DBF-FCF13327E94E}" name="BUSINESS_AREA" displayName="BUSINESS_AREA" ref="A3:D10" totalsRowShown="0" headerRowDxfId="208" dataDxfId="207">
  <autoFilter ref="A3:D10" xr:uid="{778AC03C-11C0-49BE-AE3F-5E8962C6125C}"/>
  <tableColumns count="4">
    <tableColumn id="1" xr3:uid="{1B2CE226-8E6D-41BC-8D6B-2022398A74D5}" name="ID" dataDxfId="206">
      <calculatedColumnFormula>IF(ISBLANK(BUSINESS_AREA[[#This Row],[Reference]]),TEXT(ROW(BUSINESS_AREA[[#This Row],[Reference]]),"00000")&amp;"|--",TEXT(ROW(BUSINESS_AREA[[#This Row],[Reference]]),"00000")&amp;"|"&amp;BUSINESS_AREA[[#This Row],[Name]])</calculatedColumnFormula>
    </tableColumn>
    <tableColumn id="2" xr3:uid="{ADE17C21-CF3F-4AAE-85EB-0B987E2E15BD}" name="Reference" dataDxfId="205"/>
    <tableColumn id="3" xr3:uid="{1A4C3158-0ACC-421D-998A-F4CCE000EFDF}" name="Name" dataDxfId="204"/>
    <tableColumn id="4" xr3:uid="{EAA2CD86-8A25-4D1E-A361-B94E2FE3922E}" name="Description" dataDxfId="203"/>
  </tableColumns>
  <tableStyleInfo name="TableStyleMedium1"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7EAC5F2A-366A-4035-B592-A05101D1AC7C}" name="GOV_TEAM" displayName="GOV_TEAM" ref="A3:H12" totalsRowShown="0" headerRowDxfId="202" dataDxfId="201">
  <autoFilter ref="A3:H12" xr:uid="{EA68D8B9-C231-4FB6-B12A-B487B65B5E3A}"/>
  <tableColumns count="8">
    <tableColumn id="1" xr3:uid="{048B48D2-744B-4C8B-A41F-3C6670CBA876}" name="Email" dataDxfId="200"/>
    <tableColumn id="2" xr3:uid="{08F38252-1DFC-4382-A4C2-60386A22B5DD}" name="Full Name" dataDxfId="199"/>
    <tableColumn id="7" xr3:uid="{3A6F7EFE-DB3A-432B-A000-EF8A11345C1E}" name="Data Owner" dataDxfId="198"/>
    <tableColumn id="8" xr3:uid="{20B4BA00-C2E2-44D1-AD72-437FA4B2CB9D}" name="Data Protection Officer" dataDxfId="197"/>
    <tableColumn id="9" xr3:uid="{88964BA2-1513-4909-8F0E-3F3D73A57982}" name="Data Manager" dataDxfId="196"/>
    <tableColumn id="10" xr3:uid="{FA21B3CA-5B25-4C2E-9847-C1EFBB9960A7}" name="Data Steward" dataDxfId="195"/>
    <tableColumn id="6" xr3:uid="{E05A641D-E1FB-4771-9240-AA1694D78EDA}" name="Data Custodian" dataDxfId="194"/>
    <tableColumn id="3" xr3:uid="{3FA49611-E863-4C48-BD5A-D3067A852942}" name="Application Owner" dataDxfId="193"/>
  </tableColumns>
  <tableStyleInfo name="TableStyleMedium1"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00000000-000C-0000-FFFF-FFFF0D000000}" name="DATA_DOMAIN" displayName="DATA_DOMAIN" ref="A3:H10" totalsRowShown="0" headerRowDxfId="192" dataDxfId="191">
  <autoFilter ref="A3:H10" xr:uid="{00000000-0009-0000-0100-00000E000000}"/>
  <tableColumns count="8">
    <tableColumn id="1" xr3:uid="{00000000-0010-0000-0D00-000001000000}" name="ID" dataDxfId="190">
      <calculatedColumnFormula>IF(OR(ISBLANK(DATA_DOMAIN[[#This Row],[Subject Area - ID]]),ISBLANK(DATA_DOMAIN[[#This Row],[Business Area - ID]])),TEXT(ROW(DATA_DOMAIN[[#This Row],[ID]]),"00000")&amp;"|--",TEXT(ROW(DATA_DOMAIN[[#This Row],[ID]]),"00000")&amp;"|"&amp;RIGHT(DATA_DOMAIN[[#This Row],[Subject Area - ID]],LEN(DATA_DOMAIN[[#This Row],[Subject Area - ID]])-SEARCH("|",DATA_DOMAIN[[#This Row],[Subject Area - ID]]))&amp;"|"&amp;RIGHT(DATA_DOMAIN[[#This Row],[Business Area - ID]],LEN(DATA_DOMAIN[[#This Row],[Business Area - ID]])-SEARCH("|",DATA_DOMAIN[[#This Row],[Business Area - ID]])))</calculatedColumnFormula>
    </tableColumn>
    <tableColumn id="8" xr3:uid="{A5E7790B-12CA-48B8-A10D-A920FC398496}" name="Subject Area - ID" dataDxfId="189"/>
    <tableColumn id="11" xr3:uid="{4DDB23EC-3AA7-4746-B429-9198C3BD4376}" name="Business Area - ID" dataDxfId="188"/>
    <tableColumn id="5" xr3:uid="{00000000-0010-0000-0D00-000005000000}" name="Data Owner" dataDxfId="187"/>
    <tableColumn id="6" xr3:uid="{00000000-0010-0000-0D00-000006000000}" name="Data Protection Officer" dataDxfId="186"/>
    <tableColumn id="7" xr3:uid="{00000000-0010-0000-0D00-000007000000}" name="Data Manager" dataDxfId="185"/>
    <tableColumn id="12" xr3:uid="{1A86DCF3-5799-4BD9-AFDE-169FCB003E70}" name="Data Steward" dataDxfId="184"/>
    <tableColumn id="9" xr3:uid="{00000000-0010-0000-0D00-000009000000}" name="Comment" dataDxfId="183"/>
  </tableColumns>
  <tableStyleInfo name="TableStyleMedium1"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C98CD6E8-FA78-49E8-8913-C86C9DEEC16E}" name="TEAMS" displayName="TEAMS" ref="A3:F10" totalsRowShown="0" headerRowDxfId="182" dataDxfId="181">
  <autoFilter ref="A3:F10" xr:uid="{B2675C6C-ABF8-4BE1-9E5F-321E36A89583}"/>
  <tableColumns count="6">
    <tableColumn id="1" xr3:uid="{85A6E382-E733-4546-88C9-962755DB1918}" name="ID" dataDxfId="180">
      <calculatedColumnFormula>IF(ISBLANK(TEAMS[Reference]),TEXT(ROW(TEAMS[[#This Row],[Reference]]),"00000")&amp;"|--",TEXT(ROW(TEAMS[[#This Row],[Reference]]),"00000")&amp;"|"&amp;TEAMS[[#This Row],[Name]])</calculatedColumnFormula>
    </tableColumn>
    <tableColumn id="2" xr3:uid="{3347D2E6-7EB5-434D-934F-EC6939879595}" name="Reference" dataDxfId="179"/>
    <tableColumn id="3" xr3:uid="{1D3FB741-F04F-47DE-A67C-52F0E6F02DD1}" name="Name" dataDxfId="178"/>
    <tableColumn id="4" xr3:uid="{A3621085-466B-4221-BCAA-982B6038EA15}" name="Description" dataDxfId="177"/>
    <tableColumn id="5" xr3:uid="{0713F620-020C-4BEA-BF49-F18A0A2CF603}" name="Data Manager" dataDxfId="176"/>
    <tableColumn id="6" xr3:uid="{7117CF9A-ACE4-404B-92A4-7E2FEDB93BF7}" name="Data Steward" dataDxfId="175"/>
  </tableColumns>
  <tableStyleInfo name="TableStyleMedium1"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CF95D706-D906-4417-BD2F-169FA668AFD2}" name="ACORD_GLOSSARY" displayName="ACORD_GLOSSARY" ref="A1:B3954" totalsRowShown="0" headerRowDxfId="174" dataDxfId="173">
  <autoFilter ref="A1:B3954" xr:uid="{B20F4019-8155-48F5-8EC2-3E55B6A90593}"/>
  <tableColumns count="2">
    <tableColumn id="1" xr3:uid="{B2F8BB9A-61F1-4565-AF19-6A1259BFC082}" name="GlossaryTerm" dataDxfId="172"/>
    <tableColumn id="2" xr3:uid="{314EA5BA-FF37-4588-8C87-BF84D2DA401E}" name="Definition" dataDxfId="171"/>
  </tableColumns>
  <tableStyleInfo name="TableStyleLight1"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EB367224-ACB2-4E89-B6D3-E3284056F9C1}" name="DATA_OBJECT" displayName="DATA_OBJECT" ref="A3:G20" totalsRowShown="0" headerRowDxfId="170" dataDxfId="169">
  <autoFilter ref="A3:G20" xr:uid="{1B011D43-2746-434C-859B-313260873DD8}"/>
  <tableColumns count="7">
    <tableColumn id="1" xr3:uid="{A5E3B493-2B9C-4853-8945-C379F271453F}" name="ID" dataDxfId="168">
      <calculatedColumnFormula>IF(ISBLANK(DATA_OBJECT[[#This Row],[Reference]]),TEXT(ROW(DATA_OBJECT[[#This Row],[Reference]]),"00000")&amp;"|--",TEXT(ROW(DATA_OBJECT[[#This Row],[ID]]),"00000")&amp;"|"&amp;DATA_OBJECT[[#This Row],[Name]])</calculatedColumnFormula>
    </tableColumn>
    <tableColumn id="2" xr3:uid="{235F43BE-DCFE-489D-8825-853A809EF977}" name="Reference" dataDxfId="167"/>
    <tableColumn id="3" xr3:uid="{592C95EE-6E1A-4CC5-843D-C522B11B1275}" name="Name" dataDxfId="166"/>
    <tableColumn id="4" xr3:uid="{C7E58617-67A8-4D52-AF31-F60510CEE487}" name="Description" dataDxfId="165"/>
    <tableColumn id="8" xr3:uid="{528541BF-588E-457F-868B-20E94E58088B}" name="ACORD Definition" dataDxfId="164">
      <calculatedColumnFormula>IF(ISERROR(VLOOKUP(DATA_OBJECT[[#This Row],[Name]],ACORD_GLOSSARY[],2,FALSE)),"--",VLOOKUP(DATA_OBJECT[[#This Row],[Name]],ACORD_GLOSSARY[],2,FALSE))</calculatedColumnFormula>
    </tableColumn>
    <tableColumn id="5" xr3:uid="{397FAB8B-F940-4153-B3E6-A25012089FB9}" name="Master Data Object" dataDxfId="163"/>
    <tableColumn id="9" xr3:uid="{E5CBD73F-3171-4E08-9486-1368B6A10E06}" name="Data Domain ID" dataDxfId="162"/>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DATA_ELEMENT" displayName="DATA_ELEMENT" ref="A3:K30" totalsRowShown="0" headerRowDxfId="161" dataDxfId="160">
  <tableColumns count="11">
    <tableColumn id="1" xr3:uid="{00000000-0010-0000-0100-000001000000}" name="ID" dataDxfId="159">
      <calculatedColumnFormula>IF(ISBLANK(DATA_ELEMENT[[#This Row],[Reference]]),TEXT(ROW(DATA_ELEMENT[[#This Row],[Reference]]),"00000")&amp;"|--",TEXT(ROW(DATA_ELEMENT[[#This Row],[ID]]),"00000")&amp;"|"&amp;DATA_ELEMENT[[#This Row],[Name]])</calculatedColumnFormula>
    </tableColumn>
    <tableColumn id="3" xr3:uid="{00000000-0010-0000-0100-000003000000}" name="Reference" dataDxfId="158"/>
    <tableColumn id="4" xr3:uid="{00000000-0010-0000-0100-000004000000}" name="Name" dataDxfId="157"/>
    <tableColumn id="5" xr3:uid="{00000000-0010-0000-0100-000005000000}" name="Description" dataDxfId="156"/>
    <tableColumn id="11" xr3:uid="{ED039227-B44C-4240-A1EE-E586C99BF9D8}" name="ACORD Definition" dataDxfId="155">
      <calculatedColumnFormula>IF(ISERROR(VLOOKUP(DATA_ELEMENT[[#This Row],[Name]],ACORD_GLOSSARY[],2,FALSE)),"--",VLOOKUP(DATA_ELEMENT[[#This Row],[Name]],ACORD_GLOSSARY[],2,FALSE))</calculatedColumnFormula>
    </tableColumn>
    <tableColumn id="6" xr3:uid="{00000000-0010-0000-0100-000006000000}" name="Personal Data Sensitivity" dataDxfId="154"/>
    <tableColumn id="7" xr3:uid="{00000000-0010-0000-0100-000007000000}" name="Personal Data Category" dataDxfId="153"/>
    <tableColumn id="8" xr3:uid="{0F8DE829-F223-4BB2-9009-BC21016049B0}" name="Business criticality" dataDxfId="152"/>
    <tableColumn id="10" xr3:uid="{C299EAAD-9410-4F66-8B8E-278C5426D91A}" name="Data Object ID" dataDxfId="151"/>
    <tableColumn id="9" xr3:uid="{D4981DCD-99B8-49D0-BD88-6639B54B53E3}" name="Data Object Name" dataDxfId="150">
      <calculatedColumnFormula>IF(ISBLANK(DATA_ELEMENT[[#This Row],[Data Object ID]]),"-",IF(ISERROR(VLOOKUP(DATA_ELEMENT[[#This Row],[Data Object ID]],DATA_OBJECT[],3,FALSE)),"Not found",VLOOKUP(DATA_ELEMENT[[#This Row],[Data Object ID]],DATA_OBJECT[],3,FALSE)))</calculatedColumnFormula>
    </tableColumn>
    <tableColumn id="2" xr3:uid="{D7D3C7BF-FCD3-4D4E-85B0-BDFE8512ABA8}" name="Data Domain ID" dataDxfId="149"/>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2000000}" name="DATA_PROCESSING_ACTIVITY" displayName="DATA_PROCESSING_ACTIVITY" ref="A3:R20" totalsRowShown="0" headerRowDxfId="148" dataDxfId="147">
  <autoFilter ref="A3:R20" xr:uid="{00000000-0009-0000-0100-000005000000}"/>
  <tableColumns count="18">
    <tableColumn id="1" xr3:uid="{00000000-0010-0000-0200-000001000000}" name="ID" dataDxfId="146">
      <calculatedColumnFormula>IF(ISBLANK(DATA_PROCESSING_ACTIVITY[[#This Row],[Reference]]),TEXT(ROW(DATA_PROCESSING_ACTIVITY[[#This Row],[Reference]]),"00000")&amp;"|--",TEXT(ROW(DATA_PROCESSING_ACTIVITY[[#This Row],[ID]]),"00000")&amp;"|"&amp;DATA_PROCESSING_ACTIVITY[[#This Row],[Name]])</calculatedColumnFormula>
    </tableColumn>
    <tableColumn id="2" xr3:uid="{00000000-0010-0000-0200-000002000000}" name="Reference" dataDxfId="145"/>
    <tableColumn id="3" xr3:uid="{00000000-0010-0000-0200-000003000000}" name="Name" dataDxfId="144"/>
    <tableColumn id="4" xr3:uid="{00000000-0010-0000-0200-000004000000}" name="Purposes Of Processing" dataDxfId="143"/>
    <tableColumn id="5" xr3:uid="{00000000-0010-0000-0200-000005000000}" name="Personal Data Processing" dataDxfId="142"/>
    <tableColumn id="7" xr3:uid="{00000000-0010-0000-0200-000007000000}" name="Is a DPIA required?" dataDxfId="141"/>
    <tableColumn id="8" xr3:uid="{00000000-0010-0000-0200-000008000000}" name="Comment About DPIA" dataDxfId="140"/>
    <tableColumn id="9" xr3:uid="{00000000-0010-0000-0200-000009000000}" name="Attachment-URL" dataDxfId="139"/>
    <tableColumn id="10" xr3:uid="{00000000-0010-0000-0200-00000A000000}" name="Legal Entity In Charge" dataDxfId="138"/>
    <tableColumn id="11" xr3:uid="{00000000-0010-0000-0200-00000B000000}" name="Legal Entity Role" dataDxfId="137"/>
    <tableColumn id="12" xr3:uid="{00000000-0010-0000-0200-00000C000000}" name="Joint Controller Name" dataDxfId="136"/>
    <tableColumn id="13" xr3:uid="{00000000-0010-0000-0200-00000D000000}" name="Additional Documentation-URL" dataDxfId="135"/>
    <tableColumn id="14" xr3:uid="{00000000-0010-0000-0200-00000E000000}" name="Data Retention Policy-URL" dataDxfId="134"/>
    <tableColumn id="15" xr3:uid="{00000000-0010-0000-0200-00000F000000}" name="Is the policy applied?" dataDxfId="133"/>
    <tableColumn id="16" xr3:uid="{00000000-0010-0000-0200-000010000000}" name="Reasons for not adhering" dataDxfId="132"/>
    <tableColumn id="22" xr3:uid="{6FFC8F45-27CD-4DEB-AFBB-B7D67FD8E59A}" name="Team ID" dataDxfId="131"/>
    <tableColumn id="24" xr3:uid="{2B0C3088-EC02-4ECB-B534-68954683C37C}" name="Team Name" dataDxfId="130">
      <calculatedColumnFormula>IF(ISERROR(VLOOKUP(DATA_PROCESSING_ACTIVITY[[#This Row],[Team ID]],TEAMS[],3,FALSE)),"--",VLOOKUP(DATA_PROCESSING_ACTIVITY[[#This Row],[Team ID]],TEAMS[],3,FALSE))</calculatedColumnFormula>
    </tableColumn>
    <tableColumn id="17" xr3:uid="{252CA64B-23B6-467D-9020-A0874C304E52}" name="Data Domain ID" dataDxfId="129"/>
  </tableColumns>
  <tableStyleInfo name="TableStyleLight21"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03000000}" name="DATA_RCP" displayName="DATA_RCP" ref="A3:I10" totalsRowShown="0" headerRowDxfId="128" dataDxfId="127">
  <autoFilter ref="A3:I10" xr:uid="{00000000-0009-0000-0100-000007000000}"/>
  <tableColumns count="9">
    <tableColumn id="1" xr3:uid="{00000000-0010-0000-0300-000001000000}" name="ID" dataDxfId="126">
      <calculatedColumnFormula>IF(OR(ISBLANK(DATA_RCP[[#This Row],[Data Processing Activity - ID]]),ISBLANK(DATA_RCP[[#This Row],[Recipient]])),TEXT(ROW(DATA_RCP[[#This Row],[Reference]]),"00000")&amp;"|--",TEXT(ROW(DATA_RCP[[#This Row],[ID]]),"00000")&amp;"|"&amp;DATA_RCP[[#This Row],[Data Processing Activity - ID]]&amp;"|"&amp;DATA_RCP[[#This Row],[Recipient]])</calculatedColumnFormula>
    </tableColumn>
    <tableColumn id="2" xr3:uid="{00000000-0010-0000-0300-000002000000}" name="Reference" dataDxfId="125"/>
    <tableColumn id="12" xr3:uid="{00000000-0010-0000-0300-00000C000000}" name="Data Processing Activity - ID" dataDxfId="124"/>
    <tableColumn id="13" xr3:uid="{00000000-0010-0000-0300-00000D000000}" name="Recipient" dataDxfId="123"/>
    <tableColumn id="4" xr3:uid="{00000000-0010-0000-0300-000004000000}" name="Recipient Category" dataDxfId="122"/>
    <tableColumn id="7" xr3:uid="{00000000-0010-0000-0300-000007000000}" name="Legal Basis For Transfer" dataDxfId="121"/>
    <tableColumn id="9" xr3:uid="{00000000-0010-0000-0300-000009000000}" name="Comment About Transfer" dataDxfId="120"/>
    <tableColumn id="10" xr3:uid="{00000000-0010-0000-0300-00000A000000}" name="Transfer To Third Country" dataDxfId="119"/>
    <tableColumn id="11" xr3:uid="{00000000-0010-0000-0300-00000B000000}" name="Transfer To" dataDxfId="118"/>
  </tableColumns>
  <tableStyleInfo name="TableStyleLight21"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6000000}" name="DATABASE" displayName="DATABASE" ref="A3:J10" totalsRowShown="0" headerRowDxfId="117" dataDxfId="116">
  <autoFilter ref="A3:J10" xr:uid="{00000000-0009-0000-0100-000006000000}"/>
  <tableColumns count="10">
    <tableColumn id="1" xr3:uid="{00000000-0010-0000-0600-000001000000}" name="ID" dataDxfId="115">
      <calculatedColumnFormula>IF(ISBLANK(DATABASE[[#This Row],[Reference]]),TEXT(ROW(DATABASE[[#This Row],[Reference]]),"00000")&amp;"|--",TEXT(ROW(DATABASE[[#This Row],[ID]]),"00000")&amp;"|"&amp;DATABASE[[#This Row],[Name]])</calculatedColumnFormula>
    </tableColumn>
    <tableColumn id="3" xr3:uid="{00000000-0010-0000-0600-000003000000}" name="Reference" dataDxfId="114"/>
    <tableColumn id="5" xr3:uid="{00000000-0010-0000-0600-000005000000}" name="Name" dataDxfId="113"/>
    <tableColumn id="7" xr3:uid="{00000000-0010-0000-0600-000007000000}" name="Description" dataDxfId="112"/>
    <tableColumn id="8" xr3:uid="{00000000-0010-0000-0600-000008000000}" name="Engine" dataDxfId="111"/>
    <tableColumn id="6" xr3:uid="{AB8D4F69-BA1D-42A8-93AD-B09884331FAF}" name="Environment Name" dataDxfId="110"/>
    <tableColumn id="11" xr3:uid="{0DBB8B61-399F-44F1-B4C2-E6A31975227C}" name="Environment Type" dataDxfId="109"/>
    <tableColumn id="4" xr3:uid="{D440BBA2-6666-4210-BE12-6271DEC87E4E}" name="Application Name" dataDxfId="108"/>
    <tableColumn id="2" xr3:uid="{CEEAEB7B-506D-408B-B903-9906649944C1}" name="Application Owner" dataDxfId="107"/>
    <tableColumn id="9" xr3:uid="{00000000-0010-0000-0600-000009000000}" name="Data Custodian" dataDxfId="106"/>
  </tableColumns>
  <tableStyleInfo name="TableStyleMedium5"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07000000}" name="DATASET" displayName="DATASET" ref="A3:J19" totalsRowShown="0" headerRowDxfId="105" dataDxfId="104">
  <autoFilter ref="A3:J19" xr:uid="{00000000-0009-0000-0100-000008000000}"/>
  <tableColumns count="10">
    <tableColumn id="1" xr3:uid="{00000000-0010-0000-0700-000001000000}" name="ID" dataDxfId="103">
      <calculatedColumnFormula>IF(ISBLANK(DATASET[[#This Row],[Reference]]),TEXT(ROW(DATASET[[#This Row],[Reference]]),"00000")&amp;"|--",TEXT(ROW(DATASET[[#This Row],[ID]]),"00000")&amp;"|"&amp;DATASET[[#This Row],[Name]])</calculatedColumnFormula>
    </tableColumn>
    <tableColumn id="2" xr3:uid="{00000000-0010-0000-0700-000002000000}" name="Reference" dataDxfId="102"/>
    <tableColumn id="4" xr3:uid="{00000000-0010-0000-0700-000004000000}" name="Name" dataDxfId="101"/>
    <tableColumn id="5" xr3:uid="{00000000-0010-0000-0700-000005000000}" name="Type" dataDxfId="100"/>
    <tableColumn id="3" xr3:uid="{CFB9D611-B7B2-48BF-A78D-B30E8E5ABEE0}" name="Confidentiality Level" dataDxfId="99"/>
    <tableColumn id="6" xr3:uid="{29E92CCF-7A73-4306-A851-E6F3B5763208}" name="Database ID" dataDxfId="98"/>
    <tableColumn id="7" xr3:uid="{2D365B10-FF5F-4C4A-958C-3F45AFD8F4AC}" name="Database Name" dataDxfId="97">
      <calculatedColumnFormula>IF(ISBLANK(DATASET[[#This Row],[Database ID]]),"-",IF(ISERROR(VLOOKUP(DATASET[[#This Row],[Database ID]],DATABASE[],4,FALSE)),"Not found",VLOOKUP(DATASET[[#This Row],[Database ID]],DATABASE[],4,FALSE)))</calculatedColumnFormula>
    </tableColumn>
    <tableColumn id="8" xr3:uid="{2D707D74-9E22-45DE-9EFC-D2BD76F55143}" name="Data Object ID" dataDxfId="96"/>
    <tableColumn id="9" xr3:uid="{3988FAC3-2F05-4BDF-9641-3C236337C4C8}" name="Data Object Reference" dataDxfId="95">
      <calculatedColumnFormula>IF(ISBLANK(DATASET[[#This Row],[Data Object ID]]),"-",IF(ISERROR(VLOOKUP(DATASET[[#This Row],[Data Object ID]],DATA_OBJECT[],2,FALSE)),"Not found",VLOOKUP(DATASET[[#This Row],[Data Object ID]],DATA_OBJECT[],2,FALSE)))</calculatedColumnFormula>
    </tableColumn>
    <tableColumn id="10" xr3:uid="{511391F8-D203-4918-8496-0F42BE34702B}" name="Data Object Name" dataDxfId="94">
      <calculatedColumnFormula>IF(ISBLANK(DATASET[[#This Row],[Data Object ID]]),"-",IF(ISERROR(VLOOKUP(DATASET[[#This Row],[Data Object ID]],DATA_OBJECT[],3,FALSE)),"Not found",VLOOKUP(DATASET[[#This Row],[Data Object ID]],DATA_OBJECT[],3,FALSE)))</calculatedColumnFormula>
    </tableColumn>
  </tableColumns>
  <tableStyleInfo name="TableStyleMedium5"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0000000-000C-0000-FFFF-FFFF08000000}" name="DATAFIELD" displayName="DATAFIELD" ref="A3:M20" totalsRowShown="0" headerRowDxfId="93" dataDxfId="92">
  <autoFilter ref="A3:M20" xr:uid="{00000000-0009-0000-0100-000009000000}"/>
  <tableColumns count="13">
    <tableColumn id="1" xr3:uid="{00000000-0010-0000-0800-000001000000}" name="ID" dataDxfId="91">
      <calculatedColumnFormula>IF(ISBLANK(DATAFIELD[[#This Row],[Reference]]),TEXT(ROW(DATAFIELD[[#This Row],[Reference]]),"00000")&amp;"|--",TEXT(ROW(DATAFIELD[[#This Row],[ID]]),"00000")&amp;"|"&amp;DATAFIELD[[#This Row],[Name]])</calculatedColumnFormula>
    </tableColumn>
    <tableColumn id="4" xr3:uid="{00000000-0010-0000-0800-000004000000}" name="Database ID" dataDxfId="90"/>
    <tableColumn id="6" xr3:uid="{00000000-0010-0000-0800-000006000000}" name="Dataset ID" dataDxfId="89"/>
    <tableColumn id="7" xr3:uid="{00000000-0010-0000-0800-000007000000}" name="Reference" dataDxfId="88"/>
    <tableColumn id="9" xr3:uid="{00000000-0010-0000-0800-000009000000}" name="Name" dataDxfId="87"/>
    <tableColumn id="11" xr3:uid="{00000000-0010-0000-0800-00000B000000}" name="Description" dataDxfId="86"/>
    <tableColumn id="12" xr3:uid="{00000000-0010-0000-0800-00000C000000}" name="Data Type" dataDxfId="85"/>
    <tableColumn id="13" xr3:uid="{00000000-0010-0000-0800-00000D000000}" name="Mandatory" dataDxfId="84"/>
    <tableColumn id="14" xr3:uid="{00000000-0010-0000-0800-00000E000000}" name="Maximum Length" dataDxfId="83"/>
    <tableColumn id="15" xr3:uid="{00000000-0010-0000-0800-00000F000000}" name="Personal Data Category" dataDxfId="82"/>
    <tableColumn id="2" xr3:uid="{1D75F238-D705-4979-BE67-2E32FE082D5B}" name="Data Element ID" dataDxfId="81"/>
    <tableColumn id="3" xr3:uid="{70A72F01-F02C-4355-93B6-A366B4A65162}" name="Data Element Reference" dataDxfId="80">
      <calculatedColumnFormula>IF(ISBLANK(DATAFIELD[[#This Row],[Data Element ID]]),"-",IF(ISERROR(VLOOKUP(DATAFIELD[[#This Row],[Data Element ID]],DATA_ELEMENT[],2,FALSE)),"Not found",VLOOKUP(DATAFIELD[[#This Row],[Data Element ID]],DATA_ELEMENT[],2,FALSE)))</calculatedColumnFormula>
    </tableColumn>
    <tableColumn id="5" xr3:uid="{EF6E4B20-0DD7-4292-A91C-9EFC293ECD85}" name="Data Element Name" dataDxfId="79">
      <calculatedColumnFormula>IF(ISBLANK(DATAFIELD[[#This Row],[Data Element ID]]),"-",IF(ISERROR(VLOOKUP(DATAFIELD[[#This Row],[Data Element ID]],DATA_ELEMENT[],3,FALSE)),"Not found",VLOOKUP(DATAFIELD[[#This Row],[Data Element ID]],DATA_ELEMENT[],3,FALSE)))</calculatedColumnFormula>
    </tableColumn>
  </tableColumns>
  <tableStyleInfo name="TableStyleMedium5"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00000000-000C-0000-FFFF-FFFF09000000}" name="BUSINES_DQ_RULE" displayName="BUSINES_DQ_RULE" ref="A3:H10" totalsRowShown="0" headerRowDxfId="78" dataDxfId="77">
  <autoFilter ref="A3:H10" xr:uid="{00000000-0009-0000-0100-00000A000000}"/>
  <tableColumns count="8">
    <tableColumn id="1" xr3:uid="{00000000-0010-0000-0900-000001000000}" name="ID" dataDxfId="76">
      <calculatedColumnFormula>IF(ISBLANK(BUSINES_DQ_RULE[[#This Row],[Reference]]),TEXT(ROW(BUSINES_DQ_RULE[[#This Row],[Reference]]),"00000")&amp;"|--",TEXT(ROW(BUSINES_DQ_RULE[[#This Row],[ID]]),"00000")&amp;"|"&amp;BUSINES_DQ_RULE[[#This Row],[Reference]])</calculatedColumnFormula>
    </tableColumn>
    <tableColumn id="2" xr3:uid="{00000000-0010-0000-0900-000002000000}" name="Reference" dataDxfId="75"/>
    <tableColumn id="4" xr3:uid="{00000000-0010-0000-0900-000004000000}" name="Name" dataDxfId="74"/>
    <tableColumn id="6" xr3:uid="{00000000-0010-0000-0900-000006000000}" name="Description" dataDxfId="73"/>
    <tableColumn id="7" xr3:uid="{00000000-0010-0000-0900-000007000000}" name="Additional Documentation URL" dataDxfId="72"/>
    <tableColumn id="10" xr3:uid="{00000000-0010-0000-0900-00000A000000}" name="Data Quality Dimension - Reference" dataDxfId="71"/>
    <tableColumn id="12" xr3:uid="{00000000-0010-0000-0900-00000C000000}" name="Reporting Data Object - ID" dataDxfId="70"/>
    <tableColumn id="3" xr3:uid="{271C1576-3722-43CC-9AE6-9215F80EDDA8}" name="Data Domain ID" dataDxfId="69"/>
  </tableColumns>
  <tableStyleInfo name="TableStyleMedium3"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0000000-000C-0000-FFFF-FFFF0A000000}" name="TECH_DQ_RULE" displayName="TECH_DQ_RULE" ref="A3:N10" totalsRowShown="0" headerRowDxfId="68" dataDxfId="67">
  <autoFilter ref="A3:N10" xr:uid="{00000000-0009-0000-0100-00000B000000}"/>
  <tableColumns count="14">
    <tableColumn id="1" xr3:uid="{00000000-0010-0000-0A00-000001000000}" name="ID" dataDxfId="66">
      <calculatedColumnFormula>IF(ISBLANK(TECH_DQ_RULE[[#This Row],[Business DQ Rule Reference]]),TEXT(ROW(TECH_DQ_RULE[[#This Row],[Business DQ Rule Reference]]),"00000")&amp;"|--",TECH_DQ_RULE[[#This Row],[Business DQ Rule Reference]]&amp;"-T")</calculatedColumnFormula>
    </tableColumn>
    <tableColumn id="2" xr3:uid="{00000000-0010-0000-0A00-000002000000}" name="Business DQ Rule Reference" dataDxfId="65"/>
    <tableColumn id="4" xr3:uid="{00000000-0010-0000-0A00-000004000000}" name="Description" dataDxfId="64"/>
    <tableColumn id="5" xr3:uid="{00000000-0010-0000-0A00-000005000000}" name="Valid From" dataDxfId="63"/>
    <tableColumn id="6" xr3:uid="{00000000-0010-0000-0A00-000006000000}" name="Valid To" dataDxfId="62"/>
    <tableColumn id="7" xr3:uid="{00000000-0010-0000-0A00-000007000000}" name="Assessment Planning " dataDxfId="61"/>
    <tableColumn id="8" xr3:uid="{00000000-0010-0000-0A00-000008000000}" name="Is Enabled" dataDxfId="60"/>
    <tableColumn id="12" xr3:uid="{00000000-0010-0000-0A00-00000C000000}" name="Database ID" dataDxfId="59"/>
    <tableColumn id="15" xr3:uid="{00000000-0010-0000-0A00-00000F000000}" name="Formal Definition" dataDxfId="58"/>
    <tableColumn id="17" xr3:uid="{00000000-0010-0000-0A00-000011000000}" name="Technical Statement" dataDxfId="57"/>
    <tableColumn id="18" xr3:uid="{00000000-0010-0000-0A00-000012000000}" name="Error Message" dataDxfId="56"/>
    <tableColumn id="19" xr3:uid="{00000000-0010-0000-0A00-000013000000}" name="Expected Result Definition" dataDxfId="55"/>
    <tableColumn id="20" xr3:uid="{00000000-0010-0000-0A00-000014000000}" name="Observed Result Definition" dataDxfId="54"/>
    <tableColumn id="21" xr3:uid="{00000000-0010-0000-0A00-000015000000}" name="Additional Documentation URL" dataDxfId="53"/>
  </tableColumns>
  <tableStyleInfo name="TableStyleMedium3"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00000000-000C-0000-FFFF-FFFF0B000000}" name="BUSINESS_DATA_ISSUE" displayName="BUSINESS_DATA_ISSUE" ref="A3:H10" totalsRowShown="0" headerRowDxfId="52" dataDxfId="51">
  <autoFilter ref="A3:H10" xr:uid="{00000000-0009-0000-0100-00000C000000}"/>
  <tableColumns count="8">
    <tableColumn id="1" xr3:uid="{00000000-0010-0000-0B00-000001000000}" name="ID" dataDxfId="50">
      <calculatedColumnFormula>IF(ISBLANK(BUSINESS_DATA_ISSUE[[#This Row],[Reference]]),TEXT(ROW(BUSINESS_DATA_ISSUE[[#This Row],[Reference]]),"00000")&amp;"|--",TEXT(ROW(BUSINESS_DATA_ISSUE[[#This Row],[ID]]),"00000")&amp;"|"&amp;BUSINESS_DATA_ISSUE[[#This Row],[Reference]])</calculatedColumnFormula>
    </tableColumn>
    <tableColumn id="2" xr3:uid="{00000000-0010-0000-0B00-000002000000}" name="Reference" dataDxfId="49"/>
    <tableColumn id="3" xr3:uid="{00000000-0010-0000-0B00-000003000000}" name="Name" dataDxfId="48"/>
    <tableColumn id="4" xr3:uid="{00000000-0010-0000-0B00-000004000000}" name="Description" dataDxfId="47"/>
    <tableColumn id="5" xr3:uid="{59487D45-6C88-4963-AC4B-537004BE6805}" name="Data Processing Activity ID" dataDxfId="46"/>
    <tableColumn id="6" xr3:uid="{5AB570E0-D44F-4CD6-BD66-52DC59CFB4BA}" name="Impact Category" dataDxfId="45"/>
    <tableColumn id="7" xr3:uid="{5527D384-8DEE-4897-A89F-E34FB0A22C56}" name="Criticality Level" dataDxfId="44"/>
    <tableColumn id="8" xr3:uid="{813B4CCC-689F-4575-8912-F16248B4B652}" name="Comment About Impact" dataDxfId="43"/>
  </tableColumns>
  <tableStyleInfo name="TableStyleMedium3"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4080951A-8A6F-403C-9BA3-366EB0B333CD}" name="DQ_ISSUE" displayName="DQ_ISSUE" ref="A3:H10" totalsRowShown="0" headerRowDxfId="42" dataDxfId="41">
  <autoFilter ref="A3:H10" xr:uid="{D91037C8-1267-4930-8B10-D0C0327084CB}"/>
  <tableColumns count="8">
    <tableColumn id="2" xr3:uid="{28934B40-67E3-4098-968D-26B0B28A04C6}" name="Database ID" dataDxfId="40"/>
    <tableColumn id="3" xr3:uid="{764AB5E5-BE31-49F4-8954-8A2942CAE30C}" name="Technical data quality rule ID" dataDxfId="39"/>
    <tableColumn id="4" xr3:uid="{F8FE62D0-B386-403F-BB4C-3510FF535A28}" name="Nb Data Object Members Evaluated" dataDxfId="38"/>
    <tableColumn id="5" xr3:uid="{1915EC55-57C6-413E-B3FC-4C5ECC06A7BC}" name="Nb Defects" dataDxfId="37"/>
    <tableColumn id="6" xr3:uid="{6721E4AB-1319-4180-B21C-0C51833C78A0}" name="Expected Defects Rate" dataDxfId="36">
      <calculatedColumnFormula>DQ_ISSUE[[#This Row],[Nb Defects]]/DQ_ISSUE[[#This Row],[Nb Data Object Members Evaluated]]</calculatedColumnFormula>
    </tableColumn>
    <tableColumn id="7" xr3:uid="{DDED8924-C887-42A6-92B0-DDCB62E6AF57}" name="Observed Defects Rate" dataDxfId="35">
      <calculatedColumnFormula>DQ_ISSUE[[#This Row],[Expected Defects Rate]]/DQ_ISSUE[[#This Row],[Nb Data Object Members Evaluated]]</calculatedColumnFormula>
    </tableColumn>
    <tableColumn id="8" xr3:uid="{E32891D2-E1A2-495A-83B4-C741EA64DAAB}" name="Comment About Data Quality Issue" dataDxfId="34"/>
    <tableColumn id="1" xr3:uid="{E994DD8B-9B6A-4CF9-9444-F062AD190452}" name="Data Quality Rule Execution Timestamp" dataDxfId="33"/>
  </tableColumns>
  <tableStyleInfo name="TableStyleMedium3"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00000000-000C-0000-FFFF-FFFF12000000}" name="DB_DATASET" displayName="DB_DATASET" ref="A3:F10" totalsRowShown="0" headerRowDxfId="32" dataDxfId="31">
  <autoFilter ref="A3:F10" xr:uid="{00000000-0009-0000-0100-000013000000}"/>
  <tableColumns count="6">
    <tableColumn id="1" xr3:uid="{00000000-0010-0000-1200-000001000000}" name="Database ID" dataDxfId="30"/>
    <tableColumn id="3" xr3:uid="{7F091892-28C6-4864-A7E5-4EE616DEEBD4}" name="Database Reference" dataDxfId="29">
      <calculatedColumnFormula>IF(ISBLANK(DB_DATASET[[#This Row],[Database ID]]),"-",IF(ISERROR(VLOOKUP(DB_DATASET[[#This Row],[Database ID]],DATABASE[],2,FALSE)),"Not found",VLOOKUP(DB_DATASET[[#This Row],[Database ID]],DATABASE[],2,FALSE)))</calculatedColumnFormula>
    </tableColumn>
    <tableColumn id="2" xr3:uid="{F6010293-84A4-4DF3-B07A-5E829E41CF98}" name="Database Name" dataDxfId="28">
      <calculatedColumnFormula>IF(ISBLANK(DB_DATASET[[#This Row],[Database ID]]),"-",IF(ISERROR(VLOOKUP(DB_DATASET[[#This Row],[Database ID]],DATABASE[],4,FALSE)),"Not found",VLOOKUP(DB_DATASET[[#This Row],[Database ID]],DATABASE[],4,FALSE)))</calculatedColumnFormula>
    </tableColumn>
    <tableColumn id="4" xr3:uid="{00000000-0010-0000-1200-000004000000}" name="Dataset ID" dataDxfId="27"/>
    <tableColumn id="5" xr3:uid="{798A5C98-2800-40DE-9C56-6C4D32E6FBC9}" name="Dataset Reference" dataDxfId="26">
      <calculatedColumnFormula>IF(ISBLANK(DB_DATASET[[#This Row],[Dataset ID]]),"-",IF(ISERROR(VLOOKUP(DB_DATASET[[#This Row],[Dataset ID]],DATASET[],2,FALSE)),"Not found",VLOOKUP(DB_DATASET[[#This Row],[Dataset ID]],DATASET[],2,FALSE)))</calculatedColumnFormula>
    </tableColumn>
    <tableColumn id="6" xr3:uid="{CAAD6E95-6924-4F2C-8947-165B3E4F8D74}" name="Dataset Name" dataDxfId="25">
      <calculatedColumnFormula>IF(ISBLANK(DB_DATASET[[#This Row],[Dataset ID]]),"-",IF(ISERROR(VLOOKUP(DB_DATASET[[#This Row],[Dataset ID]],DATASET[],3,FALSE)),"Not found",VLOOKUP(DB_DATASET[[#This Row],[Dataset ID]],DATASET[],3,FALSE)))</calculatedColumnFormula>
    </tableColumn>
  </tableColumns>
  <tableStyleInfo name="TableStyleMedium1"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00000000-000C-0000-FFFF-FFFF14000000}" name="DPA_DELT" displayName="DPA_DELT" ref="A3:G19" totalsRowShown="0" headerRowDxfId="24" dataDxfId="23">
  <autoFilter ref="A3:G19" xr:uid="{00000000-0009-0000-0100-000015000000}"/>
  <tableColumns count="7">
    <tableColumn id="1" xr3:uid="{00000000-0010-0000-1400-000001000000}" name="Data Processing Activity ID" dataDxfId="22"/>
    <tableColumn id="3" xr3:uid="{E69740F9-8146-405A-97BF-DC0AE98F3F0B}" name="Data Processing Activity Reference" dataDxfId="21">
      <calculatedColumnFormula>IF(ISBLANK(DPA_DELT[[#This Row],[Data Processing Activity ID]]),"-",IF(ISERROR(VLOOKUP(DPA_DELT[[#This Row],[Data Processing Activity ID]],DATA_PROCESSING_ACTIVITY[],2,FALSE)),"Not found",VLOOKUP(DPA_DELT[[#This Row],[Data Processing Activity ID]],DATA_PROCESSING_ACTIVITY[],2,FALSE)))</calculatedColumnFormula>
    </tableColumn>
    <tableColumn id="2" xr3:uid="{138090B9-74E7-484B-B01A-486383D889AE}" name="Data Processing Activity Name" dataDxfId="20">
      <calculatedColumnFormula>IF(ISBLANK(DPA_DELT[[#This Row],[Data Processing Activity ID]]),"-",IF(ISERROR(VLOOKUP(DPA_DELT[[#This Row],[Data Processing Activity ID]],DATA_PROCESSING_ACTIVITY[],3,FALSE)),"Not found",VLOOKUP(DPA_DELT[[#This Row],[Data Processing Activity ID]],DATA_PROCESSING_ACTIVITY[],3,FALSE)))</calculatedColumnFormula>
    </tableColumn>
    <tableColumn id="4" xr3:uid="{00000000-0010-0000-1400-000004000000}" name="Data Element ID" dataDxfId="19"/>
    <tableColumn id="6" xr3:uid="{C09D96CC-AE9B-4E67-898B-EA5AD908699E}" name="Data Element Reference" dataDxfId="18">
      <calculatedColumnFormula>IF(ISBLANK(DPA_DELT[[#This Row],[Data Element ID]]),"-",IF(ISERROR(VLOOKUP(DPA_DELT[[#This Row],[Data Element ID]],DATA_ELEMENT[],2,FALSE)),"Not found",VLOOKUP(DPA_DELT[[#This Row],[Data Element ID]],DATA_ELEMENT[],2,FALSE)))</calculatedColumnFormula>
    </tableColumn>
    <tableColumn id="5" xr3:uid="{423CFFDA-36A7-4E9B-84B6-41907951D5D7}" name="Data Element Name" dataDxfId="17">
      <calculatedColumnFormula>IF(ISBLANK(DPA_DELT[[#This Row],[Data Element ID]]),"-",IF(ISERROR(VLOOKUP(DPA_DELT[[#This Row],[Data Element ID]],DATA_ELEMENT[],3,FALSE)),"Not found",VLOOKUP(DPA_DELT[[#This Row],[Data Element ID]],DATA_ELEMENT[],3,FALSE)))</calculatedColumnFormula>
    </tableColumn>
    <tableColumn id="7" xr3:uid="{00000000-0010-0000-1400-000007000000}" name="Importance level" dataDxfId="16"/>
  </tableColumns>
  <tableStyleInfo name="TableStyleMedium1"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00000000-000C-0000-FFFF-FFFF15000000}" name="DPA_BDQRULE" displayName="DPA_BDQRULE" ref="A3:F10" totalsRowShown="0" headerRowDxfId="15" dataDxfId="14">
  <autoFilter ref="A3:F10" xr:uid="{00000000-0009-0000-0100-000016000000}"/>
  <tableColumns count="6">
    <tableColumn id="1" xr3:uid="{00000000-0010-0000-1500-000001000000}" name="Data Processing Activity ID" dataDxfId="13"/>
    <tableColumn id="3" xr3:uid="{F1C43B1D-F423-43FB-ADC1-A88043176572}" name="Data Processing Activity Reference" dataDxfId="12">
      <calculatedColumnFormula>IF(ISBLANK(DPA_BDQRULE[[#This Row],[Data Processing Activity ID]]),"--",IF(ISERROR(VLOOKUP(DPA_BDQRULE[[#This Row],[Data Processing Activity ID]],DATA_PROCESSING_ACTIVITY[],2,FALSE)),"Not found",VLOOKUP(DPA_BDQRULE[[#This Row],[Data Processing Activity ID]],DATA_PROCESSING_ACTIVITY[],2,FALSE)))</calculatedColumnFormula>
    </tableColumn>
    <tableColumn id="2" xr3:uid="{ACD4F493-3887-49B0-9014-50E94C5C6BEC}" name="Data Processing Activity Name" dataDxfId="11">
      <calculatedColumnFormula>IF(ISBLANK(DPA_BDQRULE[[#This Row],[Data Processing Activity ID]]),"--",IF(ISERROR(VLOOKUP(DPA_BDQRULE[[#This Row],[Data Processing Activity ID]],DATA_PROCESSING_ACTIVITY[],3,FALSE)),"Not found",VLOOKUP(DPA_BDQRULE[[#This Row],[Data Processing Activity ID]],DATA_PROCESSING_ACTIVITY[],3,FALSE)))</calculatedColumnFormula>
    </tableColumn>
    <tableColumn id="4" xr3:uid="{00000000-0010-0000-1500-000004000000}" name="Business Data Quality Rule ID" dataDxfId="10"/>
    <tableColumn id="5" xr3:uid="{78CC30B2-028E-4EFB-9032-721DF5511A00}" name="Business Data Quality Rule Reference" dataDxfId="9">
      <calculatedColumnFormula>IF(ISBLANK(DPA_BDQRULE[[#This Row],[Business Data Quality Rule ID]]),"-",IF(ISERROR(VLOOKUP(DPA_BDQRULE[[#This Row],[Business Data Quality Rule ID]],BUSINES_DQ_RULE[],2,FALSE)),"Not found",VLOOKUP(DPA_BDQRULE[[#This Row],[Business Data Quality Rule ID]],BUSINES_DQ_RULE[],2,FALSE)))</calculatedColumnFormula>
    </tableColumn>
    <tableColumn id="6" xr3:uid="{A4E61FA2-43F9-428D-93B9-695359A6D90B}" name="Business Data Quality Rule Name" dataDxfId="8">
      <calculatedColumnFormula>IF(ISBLANK(DPA_BDQRULE[[#This Row],[Business Data Quality Rule ID]]),"-",IF(ISERROR(VLOOKUP(DPA_BDQRULE[[#This Row],[Business Data Quality Rule ID]],BUSINES_DQ_RULE[],3,FALSE)),"Not found",VLOOKUP(DPA_BDQRULE[[#This Row],[Business Data Quality Rule ID]],BUSINES_DQ_RULE[],3,FALSE)))</calculatedColumnFormula>
    </tableColumn>
  </tableColumns>
  <tableStyleInfo name="TableStyleMedium1"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3CC3B33F-DB39-4CB9-909E-4A9FC9558EF6}" name="BDQRULE_DELT" displayName="BDQRULE_DELT" ref="A3:F20" totalsRowShown="0" headerRowDxfId="7" dataDxfId="6">
  <autoFilter ref="A3:F20" xr:uid="{DAF07511-583C-4AA8-A4FD-55E22EDC8CDC}"/>
  <tableColumns count="6">
    <tableColumn id="1" xr3:uid="{D71A57C2-96DE-40E5-A670-044A7289CF5D}" name="Business Data Quality Rule ID" dataDxfId="5"/>
    <tableColumn id="2" xr3:uid="{5930BC16-8FEA-4B3F-885F-9FD14F963965}" name="Business Data Quality Rule Reference" dataDxfId="4">
      <calculatedColumnFormula>IF(ISBLANK(BDQRULE_DELT[[#This Row],[Business Data Quality Rule ID]]),"-",IF(ISERROR(VLOOKUP(BDQRULE_DELT[[#This Row],[Business Data Quality Rule ID]],BUSINES_DQ_RULE[],2,FALSE)),"Not found",VLOOKUP(BDQRULE_DELT[[#This Row],[Business Data Quality Rule ID]],BUSINES_DQ_RULE[],2,FALSE)))</calculatedColumnFormula>
    </tableColumn>
    <tableColumn id="3" xr3:uid="{E54310B7-6E0D-424C-80C5-647BAE83799A}" name="Business Data Quality Rule Name" dataDxfId="3">
      <calculatedColumnFormula>IF(ISBLANK(BDQRULE_DELT[[#This Row],[Business Data Quality Rule ID]]),"-",IF(ISERROR(VLOOKUP(BDQRULE_DELT[[#This Row],[Business Data Quality Rule ID]],BUSINES_DQ_RULE[],3,FALSE)),"Not found",VLOOKUP(BDQRULE_DELT[[#This Row],[Business Data Quality Rule ID]],BUSINES_DQ_RULE[],3,FALSE)))</calculatedColumnFormula>
    </tableColumn>
    <tableColumn id="4" xr3:uid="{2922A375-06CC-4BA9-89E1-22CAAD390767}" name="Data Element ID" dataDxfId="2"/>
    <tableColumn id="5" xr3:uid="{9737B9F6-E1A7-40AC-8C63-FF8EABBA0895}" name="Data Element Reference" dataDxfId="1">
      <calculatedColumnFormula>IF(ISBLANK(BDQRULE_DELT[[#This Row],[Data Element ID]]),"-",IF(ISERROR(VLOOKUP(BDQRULE_DELT[[#This Row],[Data Element ID]],DATA_ELEMENT[],2,FALSE)),"Not found",VLOOKUP(BDQRULE_DELT[[#This Row],[Data Element ID]],DATA_ELEMENT[],2,FALSE)))</calculatedColumnFormula>
    </tableColumn>
    <tableColumn id="6" xr3:uid="{1BEB8A2E-83E1-4C85-9C60-3BC544FD87AD}" name="Data Element Name" dataDxfId="0">
      <calculatedColumnFormula>IF(ISBLANK(BDQRULE_DELT[[#This Row],[Data Element ID]]),"-",IF(ISERROR(VLOOKUP(BDQRULE_DELT[[#This Row],[Data Element ID]],DATA_ELEMENT[],3,FALSE)),"Not found",VLOOKUP(BDQRULE_DELT[[#This Row],[Data Element ID]],DATA_ELEMENT[],3,FALSE)))</calculatedColumnFormula>
    </tableColumn>
  </tableColumns>
  <tableStyleInfo name="TableStyleMedium1" showFirstColumn="0" showLastColumn="0" showRowStripes="1" showColumnStripes="0"/>
</table>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2.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drawing" Target="../drawings/drawing3.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8" Type="http://schemas.openxmlformats.org/officeDocument/2006/relationships/drawing" Target="../drawings/drawing4.xml"/><Relationship Id="rId3" Type="http://schemas.openxmlformats.org/officeDocument/2006/relationships/hyperlink" Target="mailto:pegase@axa.com" TargetMode="External"/><Relationship Id="rId7" Type="http://schemas.openxmlformats.org/officeDocument/2006/relationships/printerSettings" Target="../printerSettings/printerSettings7.bin"/><Relationship Id="rId2" Type="http://schemas.openxmlformats.org/officeDocument/2006/relationships/hyperlink" Target="mailto:sirus@axa.com" TargetMode="External"/><Relationship Id="rId1" Type="http://schemas.openxmlformats.org/officeDocument/2006/relationships/hyperlink" Target="mailto:john.doe@axa.com" TargetMode="External"/><Relationship Id="rId6" Type="http://schemas.openxmlformats.org/officeDocument/2006/relationships/hyperlink" Target="mailto:jupiter@axa.com" TargetMode="External"/><Relationship Id="rId5" Type="http://schemas.openxmlformats.org/officeDocument/2006/relationships/hyperlink" Target="mailto:bud.abbott@axa.com" TargetMode="External"/><Relationship Id="rId4" Type="http://schemas.openxmlformats.org/officeDocument/2006/relationships/hyperlink" Target="mailto:lou.costello@axa.com" TargetMode="External"/><Relationship Id="rId9" Type="http://schemas.openxmlformats.org/officeDocument/2006/relationships/table" Target="../tables/table3.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5.xml"/><Relationship Id="rId1" Type="http://schemas.openxmlformats.org/officeDocument/2006/relationships/printerSettings" Target="../printerSettings/printerSettings8.bin"/><Relationship Id="rId6" Type="http://schemas.openxmlformats.org/officeDocument/2006/relationships/table" Target="../tables/table4.xml"/><Relationship Id="rId5" Type="http://schemas.openxmlformats.org/officeDocument/2006/relationships/image" Target="../media/image3.emf"/><Relationship Id="rId4" Type="http://schemas.openxmlformats.org/officeDocument/2006/relationships/control" Target="../activeX/activeX1.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6.xml"/><Relationship Id="rId1" Type="http://schemas.openxmlformats.org/officeDocument/2006/relationships/printerSettings" Target="../printerSettings/printerSettings9.bin"/><Relationship Id="rId6" Type="http://schemas.openxmlformats.org/officeDocument/2006/relationships/table" Target="../tables/table5.xml"/><Relationship Id="rId5" Type="http://schemas.openxmlformats.org/officeDocument/2006/relationships/image" Target="../media/image4.emf"/><Relationship Id="rId4" Type="http://schemas.openxmlformats.org/officeDocument/2006/relationships/control" Target="../activeX/activeX2.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8.xml"/><Relationship Id="rId1" Type="http://schemas.openxmlformats.org/officeDocument/2006/relationships/printerSettings" Target="../printerSettings/printerSettings12.bin"/><Relationship Id="rId6" Type="http://schemas.openxmlformats.org/officeDocument/2006/relationships/table" Target="../tables/table7.xml"/><Relationship Id="rId5" Type="http://schemas.openxmlformats.org/officeDocument/2006/relationships/image" Target="../media/image5.emf"/><Relationship Id="rId4" Type="http://schemas.openxmlformats.org/officeDocument/2006/relationships/control" Target="../activeX/activeX3.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9.xml"/><Relationship Id="rId1" Type="http://schemas.openxmlformats.org/officeDocument/2006/relationships/printerSettings" Target="../printerSettings/printerSettings13.bin"/><Relationship Id="rId6" Type="http://schemas.openxmlformats.org/officeDocument/2006/relationships/table" Target="../tables/table8.xml"/><Relationship Id="rId5" Type="http://schemas.openxmlformats.org/officeDocument/2006/relationships/image" Target="../media/image6.emf"/><Relationship Id="rId4" Type="http://schemas.openxmlformats.org/officeDocument/2006/relationships/control" Target="../activeX/activeX4.xml"/></Relationships>
</file>

<file path=xl/worksheets/_rels/sheet14.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drawing" Target="../drawings/drawing10.x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3" Type="http://schemas.openxmlformats.org/officeDocument/2006/relationships/table" Target="../tables/table10.xml"/><Relationship Id="rId2" Type="http://schemas.openxmlformats.org/officeDocument/2006/relationships/drawing" Target="../drawings/drawing11.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12.xml"/><Relationship Id="rId1" Type="http://schemas.openxmlformats.org/officeDocument/2006/relationships/printerSettings" Target="../printerSettings/printerSettings16.bin"/><Relationship Id="rId6" Type="http://schemas.openxmlformats.org/officeDocument/2006/relationships/table" Target="../tables/table11.xml"/><Relationship Id="rId5" Type="http://schemas.openxmlformats.org/officeDocument/2006/relationships/image" Target="../media/image7.emf"/><Relationship Id="rId4" Type="http://schemas.openxmlformats.org/officeDocument/2006/relationships/control" Target="../activeX/activeX5.xml"/></Relationships>
</file>

<file path=xl/worksheets/_rels/sheet17.xml.rels><?xml version="1.0" encoding="UTF-8" standalone="yes"?>
<Relationships xmlns="http://schemas.openxmlformats.org/package/2006/relationships"><Relationship Id="rId3" Type="http://schemas.openxmlformats.org/officeDocument/2006/relationships/table" Target="../tables/table12.xml"/><Relationship Id="rId2" Type="http://schemas.openxmlformats.org/officeDocument/2006/relationships/drawing" Target="../drawings/drawing13.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table" Target="../tables/table13.xml"/><Relationship Id="rId2" Type="http://schemas.openxmlformats.org/officeDocument/2006/relationships/drawing" Target="../drawings/drawing14.x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3" Type="http://schemas.openxmlformats.org/officeDocument/2006/relationships/drawing" Target="../drawings/drawing15.xml"/><Relationship Id="rId2" Type="http://schemas.openxmlformats.org/officeDocument/2006/relationships/printerSettings" Target="../printerSettings/printerSettings19.bin"/><Relationship Id="rId1" Type="http://schemas.openxmlformats.org/officeDocument/2006/relationships/hyperlink" Target="https://www.google.com/" TargetMode="External"/><Relationship Id="rId4" Type="http://schemas.openxmlformats.org/officeDocument/2006/relationships/table" Target="../tables/table14.xml"/></Relationships>
</file>

<file path=xl/worksheets/_rels/sheet20.xml.rels><?xml version="1.0" encoding="UTF-8" standalone="yes"?>
<Relationships xmlns="http://schemas.openxmlformats.org/package/2006/relationships"><Relationship Id="rId3" Type="http://schemas.openxmlformats.org/officeDocument/2006/relationships/table" Target="../tables/table15.xml"/><Relationship Id="rId2" Type="http://schemas.openxmlformats.org/officeDocument/2006/relationships/drawing" Target="../drawings/drawing16.xml"/><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3" Type="http://schemas.openxmlformats.org/officeDocument/2006/relationships/table" Target="../tables/table16.xml"/><Relationship Id="rId2" Type="http://schemas.openxmlformats.org/officeDocument/2006/relationships/drawing" Target="../drawings/drawing17.xml"/><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3" Type="http://schemas.openxmlformats.org/officeDocument/2006/relationships/table" Target="../tables/table17.xml"/><Relationship Id="rId2" Type="http://schemas.openxmlformats.org/officeDocument/2006/relationships/drawing" Target="../drawings/drawing18.xml"/><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3" Type="http://schemas.openxmlformats.org/officeDocument/2006/relationships/table" Target="../tables/table18.xml"/><Relationship Id="rId2" Type="http://schemas.openxmlformats.org/officeDocument/2006/relationships/drawing" Target="../drawings/drawing19.xml"/><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3" Type="http://schemas.openxmlformats.org/officeDocument/2006/relationships/table" Target="../tables/table19.xml"/><Relationship Id="rId2" Type="http://schemas.openxmlformats.org/officeDocument/2006/relationships/drawing" Target="../drawings/drawing20.xml"/><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3" Type="http://schemas.openxmlformats.org/officeDocument/2006/relationships/table" Target="../tables/table20.xml"/><Relationship Id="rId2" Type="http://schemas.openxmlformats.org/officeDocument/2006/relationships/drawing" Target="../drawings/drawing21.xml"/><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3" Type="http://schemas.openxmlformats.org/officeDocument/2006/relationships/table" Target="../tables/table21.xml"/><Relationship Id="rId2" Type="http://schemas.openxmlformats.org/officeDocument/2006/relationships/drawing" Target="../drawings/drawing22.xml"/><Relationship Id="rId1" Type="http://schemas.openxmlformats.org/officeDocument/2006/relationships/printerSettings" Target="../printerSettings/printerSettings2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1"/>
  <dimension ref="A1:F45"/>
  <sheetViews>
    <sheetView workbookViewId="0">
      <selection activeCell="B2" sqref="B2"/>
    </sheetView>
  </sheetViews>
  <sheetFormatPr baseColWidth="10" defaultColWidth="0" defaultRowHeight="15" zeroHeight="1"/>
  <cols>
    <col min="1" max="1" width="3.85546875" customWidth="1"/>
    <col min="2" max="2" width="11.7109375" customWidth="1"/>
    <col min="3" max="3" width="18.42578125" customWidth="1"/>
    <col min="4" max="4" width="33" customWidth="1"/>
    <col min="5" max="5" width="59.140625" customWidth="1"/>
    <col min="6" max="6" width="3.85546875" customWidth="1"/>
    <col min="7" max="16384" width="11.42578125" hidden="1"/>
  </cols>
  <sheetData>
    <row r="1" spans="1:6" s="1" customFormat="1"/>
    <row r="2" spans="1:6">
      <c r="A2" s="1"/>
      <c r="B2" s="91" t="s">
        <v>0</v>
      </c>
      <c r="C2" s="92" t="s">
        <v>1</v>
      </c>
      <c r="D2" s="92" t="s">
        <v>2</v>
      </c>
      <c r="E2" s="93" t="s">
        <v>3</v>
      </c>
      <c r="F2" s="1"/>
    </row>
    <row r="3" spans="1:6">
      <c r="A3" s="1"/>
      <c r="B3" s="94" t="s">
        <v>810</v>
      </c>
      <c r="C3" s="95">
        <v>43658</v>
      </c>
      <c r="D3" s="96" t="s">
        <v>6</v>
      </c>
      <c r="E3" s="97" t="s">
        <v>4</v>
      </c>
      <c r="F3" s="1"/>
    </row>
    <row r="4" spans="1:6">
      <c r="A4" s="1"/>
      <c r="B4" s="98" t="s">
        <v>5</v>
      </c>
      <c r="C4" s="99">
        <v>43672</v>
      </c>
      <c r="D4" s="100" t="s">
        <v>6</v>
      </c>
      <c r="E4" s="101" t="s">
        <v>806</v>
      </c>
      <c r="F4" s="1"/>
    </row>
    <row r="5" spans="1:6">
      <c r="A5" s="1"/>
      <c r="B5" s="98" t="s">
        <v>807</v>
      </c>
      <c r="C5" s="99">
        <v>43676</v>
      </c>
      <c r="D5" s="100" t="s">
        <v>808</v>
      </c>
      <c r="E5" s="101" t="s">
        <v>809</v>
      </c>
      <c r="F5" s="1"/>
    </row>
    <row r="6" spans="1:6">
      <c r="A6" s="1"/>
      <c r="B6" s="98" t="s">
        <v>811</v>
      </c>
      <c r="C6" s="99">
        <v>43698</v>
      </c>
      <c r="D6" s="100" t="s">
        <v>6</v>
      </c>
      <c r="E6" s="101" t="s">
        <v>8785</v>
      </c>
      <c r="F6" s="1"/>
    </row>
    <row r="7" spans="1:6">
      <c r="A7" s="1"/>
      <c r="B7" s="98" t="s">
        <v>8783</v>
      </c>
      <c r="C7" s="99">
        <v>43756</v>
      </c>
      <c r="D7" s="100" t="s">
        <v>6</v>
      </c>
      <c r="E7" s="101" t="s">
        <v>8784</v>
      </c>
      <c r="F7" s="1"/>
    </row>
    <row r="8" spans="1:6">
      <c r="A8" s="1"/>
      <c r="B8" s="98" t="s">
        <v>8799</v>
      </c>
      <c r="C8" s="99">
        <v>43819</v>
      </c>
      <c r="D8" s="100" t="s">
        <v>6</v>
      </c>
      <c r="E8" s="101" t="s">
        <v>8800</v>
      </c>
      <c r="F8" s="1"/>
    </row>
    <row r="9" spans="1:6">
      <c r="A9" s="1"/>
      <c r="B9" s="98"/>
      <c r="C9" s="99"/>
      <c r="D9" s="100"/>
      <c r="E9" s="101"/>
      <c r="F9" s="1"/>
    </row>
    <row r="10" spans="1:6">
      <c r="A10" s="1"/>
      <c r="B10" s="98"/>
      <c r="C10" s="99"/>
      <c r="D10" s="100"/>
      <c r="E10" s="101"/>
      <c r="F10" s="1"/>
    </row>
    <row r="11" spans="1:6">
      <c r="A11" s="1"/>
      <c r="B11" s="98"/>
      <c r="C11" s="99"/>
      <c r="D11" s="100"/>
      <c r="E11" s="101"/>
      <c r="F11" s="1"/>
    </row>
    <row r="12" spans="1:6">
      <c r="A12" s="1"/>
      <c r="B12" s="98"/>
      <c r="C12" s="99"/>
      <c r="D12" s="100"/>
      <c r="E12" s="101"/>
      <c r="F12" s="1"/>
    </row>
    <row r="13" spans="1:6">
      <c r="A13" s="1"/>
      <c r="B13" s="98"/>
      <c r="C13" s="99"/>
      <c r="D13" s="100"/>
      <c r="E13" s="101"/>
      <c r="F13" s="1"/>
    </row>
    <row r="14" spans="1:6">
      <c r="A14" s="1"/>
      <c r="B14" s="98"/>
      <c r="C14" s="99"/>
      <c r="D14" s="100"/>
      <c r="E14" s="101"/>
      <c r="F14" s="1"/>
    </row>
    <row r="15" spans="1:6">
      <c r="A15" s="1"/>
      <c r="B15" s="98"/>
      <c r="C15" s="99"/>
      <c r="D15" s="100"/>
      <c r="E15" s="101"/>
      <c r="F15" s="1"/>
    </row>
    <row r="16" spans="1:6">
      <c r="A16" s="1"/>
      <c r="B16" s="98"/>
      <c r="C16" s="99"/>
      <c r="D16" s="100"/>
      <c r="E16" s="101"/>
      <c r="F16" s="1"/>
    </row>
    <row r="17" spans="1:6">
      <c r="A17" s="1"/>
      <c r="B17" s="98"/>
      <c r="C17" s="99"/>
      <c r="D17" s="100"/>
      <c r="E17" s="101"/>
      <c r="F17" s="1"/>
    </row>
    <row r="18" spans="1:6">
      <c r="A18" s="1"/>
      <c r="B18" s="98"/>
      <c r="C18" s="99"/>
      <c r="D18" s="100"/>
      <c r="E18" s="101"/>
      <c r="F18" s="1"/>
    </row>
    <row r="19" spans="1:6">
      <c r="A19" s="1"/>
      <c r="B19" s="98"/>
      <c r="C19" s="99"/>
      <c r="D19" s="100"/>
      <c r="E19" s="101"/>
      <c r="F19" s="1"/>
    </row>
    <row r="20" spans="1:6">
      <c r="A20" s="1"/>
      <c r="B20" s="102"/>
      <c r="C20" s="103"/>
      <c r="D20" s="104"/>
      <c r="E20" s="105"/>
      <c r="F20" s="1"/>
    </row>
    <row r="21" spans="1:6">
      <c r="A21" s="1"/>
      <c r="B21" s="1"/>
      <c r="C21" s="1"/>
      <c r="D21" s="1"/>
      <c r="E21" s="1"/>
      <c r="F21" s="1"/>
    </row>
    <row r="22" spans="1:6" hidden="1"/>
    <row r="23" spans="1:6" hidden="1"/>
    <row r="24" spans="1:6" hidden="1"/>
    <row r="25" spans="1:6" hidden="1"/>
    <row r="26" spans="1:6" hidden="1"/>
    <row r="27" spans="1:6" hidden="1"/>
    <row r="28" spans="1:6" hidden="1"/>
    <row r="29" spans="1:6" hidden="1"/>
    <row r="30" spans="1:6" hidden="1"/>
    <row r="31" spans="1:6" hidden="1"/>
    <row r="32" spans="1:6" hidden="1"/>
    <row r="33" hidden="1"/>
    <row r="34" hidden="1"/>
    <row r="35" hidden="1"/>
    <row r="36" hidden="1"/>
    <row r="37" hidden="1"/>
    <row r="38" hidden="1"/>
    <row r="39" hidden="1"/>
    <row r="40" hidden="1"/>
    <row r="41" hidden="1"/>
    <row r="42" hidden="1"/>
    <row r="43" hidden="1"/>
    <row r="44" hidden="1"/>
    <row r="45" hidden="1"/>
  </sheetData>
  <sheetProtection selectLockedCells="1"/>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2"/>
  <dimension ref="A1:N32"/>
  <sheetViews>
    <sheetView workbookViewId="0">
      <selection activeCell="B2" sqref="B2:M2"/>
    </sheetView>
  </sheetViews>
  <sheetFormatPr baseColWidth="10" defaultColWidth="0" defaultRowHeight="15" zeroHeight="1"/>
  <cols>
    <col min="1" max="1" width="3.7109375" style="5" customWidth="1"/>
    <col min="2" max="2" width="14.7109375" style="5" bestFit="1" customWidth="1"/>
    <col min="3" max="12" width="11.42578125" style="5" customWidth="1"/>
    <col min="13" max="13" width="7.5703125" style="5" customWidth="1"/>
    <col min="14" max="14" width="3.7109375" style="5" customWidth="1"/>
    <col min="15" max="16384" width="11.42578125" style="5" hidden="1"/>
  </cols>
  <sheetData>
    <row r="1" spans="1:14">
      <c r="A1" s="2"/>
      <c r="B1" s="2"/>
      <c r="C1" s="2"/>
      <c r="D1" s="2"/>
      <c r="E1" s="2"/>
      <c r="F1" s="2"/>
      <c r="G1" s="2"/>
      <c r="H1" s="2"/>
      <c r="I1" s="2"/>
      <c r="J1" s="2"/>
      <c r="K1" s="2"/>
      <c r="L1" s="2"/>
      <c r="M1" s="2"/>
      <c r="N1" s="2"/>
    </row>
    <row r="2" spans="1:14">
      <c r="A2" s="2"/>
      <c r="B2" s="118" t="s">
        <v>7</v>
      </c>
      <c r="C2" s="119"/>
      <c r="D2" s="119"/>
      <c r="E2" s="119"/>
      <c r="F2" s="119"/>
      <c r="G2" s="119"/>
      <c r="H2" s="119"/>
      <c r="I2" s="119"/>
      <c r="J2" s="119"/>
      <c r="K2" s="119"/>
      <c r="L2" s="119"/>
      <c r="M2" s="120"/>
      <c r="N2" s="2"/>
    </row>
    <row r="3" spans="1:14" ht="39.75" customHeight="1">
      <c r="A3" s="2"/>
      <c r="B3" s="121" t="s">
        <v>8786</v>
      </c>
      <c r="C3" s="122"/>
      <c r="D3" s="122"/>
      <c r="E3" s="122"/>
      <c r="F3" s="122"/>
      <c r="G3" s="122"/>
      <c r="H3" s="122"/>
      <c r="I3" s="122"/>
      <c r="J3" s="122"/>
      <c r="K3" s="122"/>
      <c r="L3" s="122"/>
      <c r="M3" s="123"/>
      <c r="N3" s="2"/>
    </row>
    <row r="4" spans="1:14" ht="39.75" customHeight="1">
      <c r="A4" s="2"/>
      <c r="B4" s="121"/>
      <c r="C4" s="122"/>
      <c r="D4" s="122"/>
      <c r="E4" s="122"/>
      <c r="F4" s="122"/>
      <c r="G4" s="122"/>
      <c r="H4" s="122"/>
      <c r="I4" s="122"/>
      <c r="J4" s="122"/>
      <c r="K4" s="122"/>
      <c r="L4" s="122"/>
      <c r="M4" s="123"/>
      <c r="N4" s="2"/>
    </row>
    <row r="5" spans="1:14" ht="39.75" customHeight="1">
      <c r="A5" s="2"/>
      <c r="B5" s="121"/>
      <c r="C5" s="122"/>
      <c r="D5" s="122"/>
      <c r="E5" s="122"/>
      <c r="F5" s="122"/>
      <c r="G5" s="122"/>
      <c r="H5" s="122"/>
      <c r="I5" s="122"/>
      <c r="J5" s="122"/>
      <c r="K5" s="122"/>
      <c r="L5" s="122"/>
      <c r="M5" s="123"/>
      <c r="N5" s="2"/>
    </row>
    <row r="6" spans="1:14" ht="39.75" customHeight="1">
      <c r="A6" s="2"/>
      <c r="B6" s="121"/>
      <c r="C6" s="122"/>
      <c r="D6" s="122"/>
      <c r="E6" s="122"/>
      <c r="F6" s="122"/>
      <c r="G6" s="122"/>
      <c r="H6" s="122"/>
      <c r="I6" s="122"/>
      <c r="J6" s="122"/>
      <c r="K6" s="122"/>
      <c r="L6" s="122"/>
      <c r="M6" s="123"/>
      <c r="N6" s="2"/>
    </row>
    <row r="7" spans="1:14" ht="15.75" customHeight="1">
      <c r="A7" s="2"/>
      <c r="B7" s="121"/>
      <c r="C7" s="122"/>
      <c r="D7" s="122"/>
      <c r="E7" s="122"/>
      <c r="F7" s="122"/>
      <c r="G7" s="122"/>
      <c r="H7" s="122"/>
      <c r="I7" s="122"/>
      <c r="J7" s="122"/>
      <c r="K7" s="122"/>
      <c r="L7" s="122"/>
      <c r="M7" s="123"/>
      <c r="N7" s="2"/>
    </row>
    <row r="8" spans="1:14" ht="39.75" customHeight="1">
      <c r="A8" s="2"/>
      <c r="B8" s="121"/>
      <c r="C8" s="122"/>
      <c r="D8" s="122"/>
      <c r="E8" s="122"/>
      <c r="F8" s="122"/>
      <c r="G8" s="122"/>
      <c r="H8" s="122"/>
      <c r="I8" s="122"/>
      <c r="J8" s="122"/>
      <c r="K8" s="122"/>
      <c r="L8" s="122"/>
      <c r="M8" s="123"/>
      <c r="N8" s="2"/>
    </row>
    <row r="9" spans="1:14" ht="39.75" customHeight="1">
      <c r="A9" s="2"/>
      <c r="B9" s="121"/>
      <c r="C9" s="122"/>
      <c r="D9" s="122"/>
      <c r="E9" s="122"/>
      <c r="F9" s="122"/>
      <c r="G9" s="122"/>
      <c r="H9" s="122"/>
      <c r="I9" s="122"/>
      <c r="J9" s="122"/>
      <c r="K9" s="122"/>
      <c r="L9" s="122"/>
      <c r="M9" s="123"/>
      <c r="N9" s="2"/>
    </row>
    <row r="10" spans="1:14" ht="39.75" customHeight="1">
      <c r="A10" s="2"/>
      <c r="B10" s="121"/>
      <c r="C10" s="122"/>
      <c r="D10" s="122"/>
      <c r="E10" s="122"/>
      <c r="F10" s="122"/>
      <c r="G10" s="122"/>
      <c r="H10" s="122"/>
      <c r="I10" s="122"/>
      <c r="J10" s="122"/>
      <c r="K10" s="122"/>
      <c r="L10" s="122"/>
      <c r="M10" s="123"/>
      <c r="N10" s="2"/>
    </row>
    <row r="11" spans="1:14" ht="39.75" customHeight="1">
      <c r="A11" s="2"/>
      <c r="B11" s="121"/>
      <c r="C11" s="122"/>
      <c r="D11" s="122"/>
      <c r="E11" s="122"/>
      <c r="F11" s="122"/>
      <c r="G11" s="122"/>
      <c r="H11" s="122"/>
      <c r="I11" s="122"/>
      <c r="J11" s="122"/>
      <c r="K11" s="122"/>
      <c r="L11" s="122"/>
      <c r="M11" s="123"/>
      <c r="N11" s="2"/>
    </row>
    <row r="12" spans="1:14" ht="39.75" customHeight="1">
      <c r="A12" s="2"/>
      <c r="B12" s="121"/>
      <c r="C12" s="122"/>
      <c r="D12" s="122"/>
      <c r="E12" s="122"/>
      <c r="F12" s="122"/>
      <c r="G12" s="122"/>
      <c r="H12" s="122"/>
      <c r="I12" s="122"/>
      <c r="J12" s="122"/>
      <c r="K12" s="122"/>
      <c r="L12" s="122"/>
      <c r="M12" s="123"/>
      <c r="N12" s="2"/>
    </row>
    <row r="13" spans="1:14" ht="39.75" customHeight="1">
      <c r="A13" s="2"/>
      <c r="B13" s="65"/>
      <c r="C13" s="18"/>
      <c r="D13" s="18"/>
      <c r="E13" s="18"/>
      <c r="F13" s="18"/>
      <c r="G13" s="18"/>
      <c r="H13" s="18"/>
      <c r="I13" s="18"/>
      <c r="J13" s="18"/>
      <c r="K13" s="18"/>
      <c r="L13" s="18"/>
      <c r="M13" s="66"/>
      <c r="N13" s="2"/>
    </row>
    <row r="14" spans="1:14" ht="39.75" customHeight="1">
      <c r="A14" s="2"/>
      <c r="B14" s="65"/>
      <c r="C14" s="18"/>
      <c r="D14" s="18"/>
      <c r="E14" s="18"/>
      <c r="F14" s="18"/>
      <c r="G14" s="18"/>
      <c r="H14" s="18"/>
      <c r="I14" s="18"/>
      <c r="J14" s="18"/>
      <c r="K14" s="18"/>
      <c r="L14" s="18"/>
      <c r="M14" s="66"/>
      <c r="N14" s="2"/>
    </row>
    <row r="15" spans="1:14" ht="39.75" customHeight="1">
      <c r="A15" s="2"/>
      <c r="B15" s="65"/>
      <c r="C15" s="18"/>
      <c r="D15" s="18"/>
      <c r="E15" s="18"/>
      <c r="F15" s="18"/>
      <c r="G15" s="18"/>
      <c r="H15" s="18"/>
      <c r="I15" s="18"/>
      <c r="J15" s="18"/>
      <c r="K15" s="18"/>
      <c r="L15" s="18"/>
      <c r="M15" s="66"/>
      <c r="N15" s="2"/>
    </row>
    <row r="16" spans="1:14" ht="39.75" customHeight="1">
      <c r="A16" s="2"/>
      <c r="B16" s="65"/>
      <c r="C16" s="18"/>
      <c r="D16" s="18"/>
      <c r="E16" s="18"/>
      <c r="F16" s="18"/>
      <c r="G16" s="18"/>
      <c r="H16" s="18"/>
      <c r="I16" s="18"/>
      <c r="J16" s="18"/>
      <c r="K16" s="18"/>
      <c r="L16" s="18"/>
      <c r="M16" s="66"/>
      <c r="N16" s="2"/>
    </row>
    <row r="17" spans="1:14" ht="27" customHeight="1">
      <c r="A17" s="2"/>
      <c r="B17" s="65"/>
      <c r="C17" s="18"/>
      <c r="D17" s="18"/>
      <c r="E17" s="18"/>
      <c r="F17" s="18"/>
      <c r="G17" s="18"/>
      <c r="H17" s="18"/>
      <c r="I17" s="18"/>
      <c r="J17" s="18"/>
      <c r="K17" s="18"/>
      <c r="L17" s="18"/>
      <c r="M17" s="66"/>
      <c r="N17" s="2"/>
    </row>
    <row r="18" spans="1:14" ht="10.5" customHeight="1">
      <c r="A18" s="2"/>
      <c r="B18" s="65"/>
      <c r="C18" s="18"/>
      <c r="D18" s="18"/>
      <c r="E18" s="18"/>
      <c r="F18" s="18"/>
      <c r="G18" s="18"/>
      <c r="H18" s="18"/>
      <c r="I18" s="18"/>
      <c r="J18" s="18"/>
      <c r="K18" s="18"/>
      <c r="L18" s="18"/>
      <c r="M18" s="66"/>
      <c r="N18" s="2"/>
    </row>
    <row r="19" spans="1:14" ht="10.5" customHeight="1">
      <c r="A19" s="2"/>
      <c r="B19" s="67"/>
      <c r="C19" s="68"/>
      <c r="D19" s="68"/>
      <c r="E19" s="68"/>
      <c r="F19" s="68"/>
      <c r="G19" s="68"/>
      <c r="H19" s="68"/>
      <c r="I19" s="68"/>
      <c r="J19" s="68"/>
      <c r="K19" s="68"/>
      <c r="L19" s="68"/>
      <c r="M19" s="69"/>
      <c r="N19" s="2"/>
    </row>
    <row r="20" spans="1:14" s="2" customFormat="1"/>
    <row r="21" spans="1:14" hidden="1"/>
    <row r="22" spans="1:14" hidden="1"/>
    <row r="23" spans="1:14" hidden="1"/>
    <row r="24" spans="1:14" hidden="1"/>
    <row r="25" spans="1:14" hidden="1"/>
    <row r="26" spans="1:14" hidden="1"/>
    <row r="27" spans="1:14" hidden="1"/>
    <row r="28" spans="1:14" hidden="1"/>
    <row r="29" spans="1:14" hidden="1"/>
    <row r="30" spans="1:14" hidden="1"/>
    <row r="31" spans="1:14" hidden="1"/>
    <row r="32" spans="1:14" hidden="1"/>
  </sheetData>
  <sheetProtection sheet="1" selectLockedCells="1"/>
  <mergeCells count="2">
    <mergeCell ref="B2:M2"/>
    <mergeCell ref="B3:M12"/>
  </mergeCells>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3"/>
  <dimension ref="A1:O33"/>
  <sheetViews>
    <sheetView workbookViewId="0">
      <selection activeCell="D4" sqref="D4"/>
    </sheetView>
  </sheetViews>
  <sheetFormatPr baseColWidth="10" defaultColWidth="0" defaultRowHeight="15" zeroHeight="1"/>
  <cols>
    <col min="1" max="1" width="4.140625" style="2" customWidth="1"/>
    <col min="2" max="2" width="25.28515625" style="5" customWidth="1"/>
    <col min="3" max="5" width="23.5703125" style="5" customWidth="1"/>
    <col min="6" max="6" width="27.5703125" style="5" customWidth="1"/>
    <col min="7" max="7" width="51.42578125" style="5" bestFit="1" customWidth="1"/>
    <col min="8" max="8" width="4.140625" style="5" customWidth="1"/>
    <col min="9" max="16384" width="11.42578125" style="5" hidden="1"/>
  </cols>
  <sheetData>
    <row r="1" spans="2:15" ht="15.75" thickBot="1">
      <c r="B1" s="2"/>
      <c r="C1" s="2"/>
      <c r="D1" s="2"/>
      <c r="E1" s="2"/>
      <c r="F1" s="2"/>
      <c r="G1" s="2"/>
      <c r="H1" s="2"/>
      <c r="I1" s="2"/>
      <c r="J1" s="2"/>
      <c r="K1" s="2"/>
      <c r="L1" s="2"/>
      <c r="M1" s="2"/>
      <c r="N1" s="2"/>
      <c r="O1" s="2"/>
    </row>
    <row r="2" spans="2:15" ht="15.75" thickBot="1">
      <c r="B2" s="82" t="s">
        <v>721</v>
      </c>
      <c r="C2" s="77" t="s">
        <v>8</v>
      </c>
      <c r="D2" s="78" t="s">
        <v>11</v>
      </c>
      <c r="E2" s="79" t="s">
        <v>16</v>
      </c>
      <c r="F2" s="81" t="s">
        <v>817</v>
      </c>
      <c r="G2" s="80" t="s">
        <v>20</v>
      </c>
      <c r="H2" s="2"/>
      <c r="I2" s="2"/>
      <c r="J2" s="2"/>
      <c r="K2" s="2"/>
      <c r="L2" s="2"/>
      <c r="M2" s="2"/>
      <c r="N2" s="2"/>
      <c r="O2" s="2"/>
    </row>
    <row r="3" spans="2:15" ht="15" customHeight="1">
      <c r="B3" s="29" t="s">
        <v>722</v>
      </c>
      <c r="C3" s="30" t="s">
        <v>9</v>
      </c>
      <c r="D3" s="29" t="s">
        <v>13</v>
      </c>
      <c r="E3" s="31" t="s">
        <v>17</v>
      </c>
      <c r="F3" s="4" t="s">
        <v>19</v>
      </c>
      <c r="G3" s="28" t="s">
        <v>796</v>
      </c>
      <c r="H3" s="2"/>
      <c r="I3" s="2"/>
      <c r="J3" s="2"/>
      <c r="K3" s="2"/>
      <c r="L3" s="2"/>
      <c r="M3" s="2"/>
      <c r="N3" s="2"/>
      <c r="O3" s="2"/>
    </row>
    <row r="4" spans="2:15" ht="15" customHeight="1">
      <c r="B4" s="4" t="s">
        <v>723</v>
      </c>
      <c r="C4" s="30" t="s">
        <v>10</v>
      </c>
      <c r="D4" s="29" t="s">
        <v>14</v>
      </c>
      <c r="E4" s="31" t="s">
        <v>18</v>
      </c>
      <c r="F4" s="29" t="s">
        <v>765</v>
      </c>
      <c r="G4" s="30" t="s">
        <v>800</v>
      </c>
      <c r="H4" s="2"/>
      <c r="I4" s="2"/>
      <c r="J4" s="2"/>
      <c r="K4" s="2"/>
      <c r="L4" s="2"/>
      <c r="M4" s="2"/>
      <c r="N4" s="2"/>
      <c r="O4" s="2"/>
    </row>
    <row r="5" spans="2:15" ht="15" customHeight="1">
      <c r="B5" s="4" t="s">
        <v>8761</v>
      </c>
      <c r="C5" s="33"/>
      <c r="D5" s="29" t="s">
        <v>15</v>
      </c>
      <c r="E5" s="35"/>
      <c r="F5" s="32" t="s">
        <v>764</v>
      </c>
      <c r="G5" s="28" t="s">
        <v>8740</v>
      </c>
      <c r="H5" s="2"/>
      <c r="I5" s="2"/>
      <c r="J5" s="2"/>
      <c r="K5" s="2"/>
      <c r="L5" s="2"/>
      <c r="M5" s="2"/>
      <c r="N5" s="2"/>
      <c r="O5" s="2"/>
    </row>
    <row r="6" spans="2:15" ht="15" customHeight="1">
      <c r="B6" s="4" t="s">
        <v>788</v>
      </c>
      <c r="C6" s="33"/>
      <c r="D6" s="76"/>
      <c r="E6" s="35"/>
      <c r="F6" s="4" t="s">
        <v>8726</v>
      </c>
      <c r="G6" s="30"/>
      <c r="H6" s="2"/>
      <c r="I6" s="2"/>
      <c r="J6" s="2"/>
      <c r="K6" s="2"/>
      <c r="L6" s="2"/>
      <c r="M6" s="2"/>
      <c r="N6" s="2"/>
      <c r="O6" s="2"/>
    </row>
    <row r="7" spans="2:15" ht="15" customHeight="1">
      <c r="B7" s="4" t="s">
        <v>8110</v>
      </c>
      <c r="C7" s="33"/>
      <c r="D7" s="34"/>
      <c r="E7" s="35"/>
      <c r="F7" s="4"/>
      <c r="G7" s="28"/>
      <c r="H7" s="2"/>
      <c r="I7" s="2"/>
      <c r="J7" s="2"/>
      <c r="K7" s="2"/>
      <c r="L7" s="2"/>
      <c r="M7" s="2"/>
      <c r="N7" s="2"/>
      <c r="O7" s="2"/>
    </row>
    <row r="8" spans="2:15" ht="15" customHeight="1">
      <c r="B8" s="4" t="s">
        <v>8804</v>
      </c>
      <c r="C8" s="33"/>
      <c r="D8" s="34"/>
      <c r="E8" s="35"/>
      <c r="F8" s="29"/>
      <c r="G8" s="28"/>
      <c r="H8" s="2"/>
      <c r="I8" s="2"/>
      <c r="J8" s="2"/>
      <c r="K8" s="2"/>
      <c r="L8" s="2"/>
      <c r="M8" s="2"/>
      <c r="N8" s="2"/>
      <c r="O8" s="2"/>
    </row>
    <row r="9" spans="2:15" ht="15" customHeight="1">
      <c r="B9" s="4"/>
      <c r="C9" s="33"/>
      <c r="D9" s="34"/>
      <c r="E9" s="35"/>
      <c r="F9" s="32"/>
      <c r="G9" s="28"/>
      <c r="H9" s="2"/>
      <c r="I9" s="2"/>
      <c r="J9" s="2"/>
      <c r="K9" s="2"/>
      <c r="L9" s="2"/>
      <c r="M9" s="2"/>
      <c r="N9" s="2"/>
      <c r="O9" s="2"/>
    </row>
    <row r="10" spans="2:15" ht="15" customHeight="1">
      <c r="B10" s="4"/>
      <c r="C10" s="33"/>
      <c r="D10" s="34"/>
      <c r="E10" s="35"/>
      <c r="F10" s="34"/>
      <c r="G10" s="28"/>
      <c r="H10" s="2"/>
      <c r="I10" s="2"/>
      <c r="J10" s="2"/>
      <c r="K10" s="2"/>
      <c r="L10" s="2"/>
      <c r="M10" s="2"/>
      <c r="N10" s="2"/>
      <c r="O10" s="2"/>
    </row>
    <row r="11" spans="2:15" ht="15" customHeight="1">
      <c r="B11" s="4"/>
      <c r="C11" s="33"/>
      <c r="D11" s="34"/>
      <c r="E11" s="35"/>
      <c r="F11" s="34"/>
      <c r="G11" s="28"/>
      <c r="H11" s="2"/>
      <c r="I11" s="2"/>
      <c r="J11" s="2"/>
      <c r="K11" s="2"/>
      <c r="L11" s="2"/>
      <c r="M11" s="2"/>
      <c r="N11" s="2"/>
      <c r="O11" s="2"/>
    </row>
    <row r="12" spans="2:15" ht="15" customHeight="1">
      <c r="B12" s="4"/>
      <c r="C12" s="33"/>
      <c r="D12" s="34"/>
      <c r="E12" s="35"/>
      <c r="F12" s="34"/>
      <c r="G12" s="28"/>
      <c r="H12" s="2"/>
      <c r="I12" s="2"/>
      <c r="J12" s="2"/>
      <c r="K12" s="2"/>
      <c r="L12" s="2"/>
      <c r="M12" s="2"/>
      <c r="N12" s="2"/>
      <c r="O12" s="2"/>
    </row>
    <row r="13" spans="2:15" ht="15" customHeight="1">
      <c r="B13" s="34"/>
      <c r="C13" s="33"/>
      <c r="D13" s="34"/>
      <c r="E13" s="35"/>
      <c r="F13" s="34"/>
      <c r="G13" s="33"/>
      <c r="H13" s="2"/>
      <c r="I13" s="2"/>
      <c r="J13" s="2"/>
      <c r="K13" s="2"/>
      <c r="L13" s="2"/>
      <c r="M13" s="2"/>
      <c r="N13" s="2"/>
      <c r="O13" s="2"/>
    </row>
    <row r="14" spans="2:15" ht="15" customHeight="1">
      <c r="B14" s="34"/>
      <c r="C14" s="33"/>
      <c r="D14" s="34"/>
      <c r="E14" s="35"/>
      <c r="F14" s="34"/>
      <c r="G14" s="28"/>
      <c r="H14" s="2"/>
      <c r="I14" s="2"/>
      <c r="J14" s="2"/>
      <c r="K14" s="2"/>
      <c r="L14" s="2"/>
      <c r="M14" s="2"/>
      <c r="N14" s="2"/>
      <c r="O14" s="2"/>
    </row>
    <row r="15" spans="2:15" ht="15" customHeight="1">
      <c r="B15" s="34"/>
      <c r="C15" s="33"/>
      <c r="D15" s="34"/>
      <c r="E15" s="35"/>
      <c r="F15" s="34"/>
      <c r="G15" s="33"/>
      <c r="H15" s="2"/>
      <c r="I15" s="2"/>
      <c r="J15" s="2"/>
      <c r="K15" s="2"/>
      <c r="L15" s="2"/>
      <c r="M15" s="2"/>
      <c r="N15" s="2"/>
      <c r="O15" s="2"/>
    </row>
    <row r="16" spans="2:15" ht="15" customHeight="1">
      <c r="B16" s="36"/>
      <c r="C16" s="37"/>
      <c r="D16" s="36"/>
      <c r="E16" s="38"/>
      <c r="F16" s="36"/>
      <c r="G16" s="37"/>
      <c r="H16" s="2"/>
      <c r="I16" s="2"/>
      <c r="J16" s="2"/>
      <c r="K16" s="2"/>
      <c r="L16" s="2"/>
      <c r="M16" s="2"/>
      <c r="N16" s="2"/>
      <c r="O16" s="2"/>
    </row>
    <row r="17" spans="2:15">
      <c r="B17" s="2"/>
      <c r="C17" s="2"/>
      <c r="D17" s="2"/>
      <c r="E17" s="2"/>
      <c r="F17" s="2"/>
      <c r="G17" s="2"/>
      <c r="H17" s="2"/>
      <c r="I17" s="2"/>
      <c r="J17" s="2"/>
      <c r="K17" s="2"/>
      <c r="L17" s="2"/>
      <c r="M17" s="2"/>
      <c r="N17" s="2"/>
      <c r="O17" s="2"/>
    </row>
    <row r="18" spans="2:15" hidden="1"/>
    <row r="19" spans="2:15" hidden="1"/>
    <row r="20" spans="2:15" hidden="1"/>
    <row r="21" spans="2:15" hidden="1"/>
    <row r="22" spans="2:15" hidden="1"/>
    <row r="23" spans="2:15" hidden="1"/>
    <row r="24" spans="2:15" hidden="1"/>
    <row r="25" spans="2:15" hidden="1"/>
    <row r="26" spans="2:15" hidden="1"/>
    <row r="27" spans="2:15" hidden="1"/>
    <row r="28" spans="2:15" hidden="1"/>
    <row r="29" spans="2:15" hidden="1"/>
    <row r="30" spans="2:15" hidden="1"/>
    <row r="31" spans="2:15" hidden="1"/>
    <row r="32" spans="2:15" hidden="1"/>
    <row r="33" hidden="1"/>
  </sheetData>
  <sheetProtection formatColumns="0" insertHyperlinks="0" selectLockedCells="1"/>
  <hyperlinks>
    <hyperlink ref="C3" location="'Data Object'!A1" display="Business data object" xr:uid="{DDDB3529-1041-4D63-89DB-763E30E8E96F}"/>
    <hyperlink ref="C4" location="'Data Element'!A1" display="Business data element" xr:uid="{09D56030-1CE1-4BC3-B750-FEC425F6B117}"/>
    <hyperlink ref="D3" location="Database!A1" display="Database" xr:uid="{72DB97EE-8F77-4E84-BE50-2B8BFE098CFD}"/>
    <hyperlink ref="D4" location="Dataset!A1" display="Dataset" xr:uid="{E94FFB6A-CA77-477F-8CDD-CAB3208DDCA0}"/>
    <hyperlink ref="D5" location="Datafield!A1" display="Datafield" xr:uid="{46CC3384-4339-4095-8470-7FABEE52B1C6}"/>
    <hyperlink ref="E3" location="'Data processing activity'!A1" display="Data processing activity" xr:uid="{1D626843-6CA0-4448-93AF-158554030356}"/>
    <hyperlink ref="E4" location="'Data transfer'!A1" display="Data transfer" xr:uid="{0B8EBF31-80A2-4ECE-8C22-90650577B909}"/>
    <hyperlink ref="B3" location="'Subject area'!A1" display="Subject area" xr:uid="{BDD29EDD-EB69-4220-8685-85518F504581}"/>
    <hyperlink ref="B4" location="'Business area'!A1" display="Business area" xr:uid="{9D66920C-BC3A-42EA-B78A-D1957825C59E}"/>
    <hyperlink ref="B5" location="'Governance team'!A1" display="Governance team" xr:uid="{5D8CEA05-3B94-448C-8442-CD77318FEB89}"/>
    <hyperlink ref="B7" location="Team!A1" display="Team" xr:uid="{D08966D9-BA2E-49FE-AD2C-0C394820341A}"/>
    <hyperlink ref="B6" location="'Data domain'!A1" display="Data domain" xr:uid="{B3592273-82F3-4DEA-9F86-A0FFBA79CB84}"/>
    <hyperlink ref="G3" location="'DPA-&gt;Data element'!A1" display="Link Data processing activity -&gt; Data element" xr:uid="{657939A8-5012-479C-AF40-8CA6FC1BA87A}"/>
    <hyperlink ref="G4" location="Database!A1" display="Database" xr:uid="{B22D9194-C384-41A8-A469-C071A85AA5E8}"/>
    <hyperlink ref="G5" location="'BusinessDQ rule -&gt; Data element'!A1" display="Business data quality rule -&gt; Data element" xr:uid="{FC9F121E-F0B3-4A85-A218-A5A517BC3F45}"/>
    <hyperlink ref="F6" location="'Data quality issue'!A1" display="Data quality issue" xr:uid="{F4E8A228-AB4D-4940-A92E-2146D6EE321A}"/>
    <hyperlink ref="F3" location="'Business data issue'!A1" display="Business data issue" xr:uid="{C7C3A6E5-32EE-43B5-8CF3-F4214DDD35F1}"/>
    <hyperlink ref="F4" location="'Business Data Quality Rule'!A1" display="Business Data Quality Rule" xr:uid="{D0F392AA-65C2-4AE9-9780-27CE425A5DAA}"/>
    <hyperlink ref="F5" location="'Technical Data Quality Rule'!A1" display="Technical Data Quality Rule" xr:uid="{05A01FBD-28C4-467B-88BB-BB59DA345BA2}"/>
    <hyperlink ref="B8" location="'List of values'!A1" display="List of values" xr:uid="{8969590D-88AC-469C-B7BA-726833788DA7}"/>
  </hyperlinks>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5"/>
  <dimension ref="A1"/>
  <sheetViews>
    <sheetView workbookViewId="0"/>
  </sheetViews>
  <sheetFormatPr baseColWidth="10" defaultRowHeight="15"/>
  <sheetData/>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AEA435-46F4-4CBF-964E-AC12A5A3DC01}">
  <sheetPr codeName="Feuil28"/>
  <dimension ref="A1:E115"/>
  <sheetViews>
    <sheetView workbookViewId="0">
      <selection activeCell="C7" sqref="C7"/>
    </sheetView>
  </sheetViews>
  <sheetFormatPr baseColWidth="10" defaultColWidth="0" defaultRowHeight="15"/>
  <cols>
    <col min="1" max="1" width="40.85546875" customWidth="1"/>
    <col min="2" max="2" width="30" bestFit="1" customWidth="1"/>
    <col min="3" max="3" width="32" bestFit="1" customWidth="1"/>
    <col min="4" max="4" width="42.5703125" customWidth="1"/>
    <col min="5" max="5" width="11.42578125" customWidth="1"/>
    <col min="6" max="16384" width="11.42578125" hidden="1"/>
  </cols>
  <sheetData>
    <row r="1" spans="1:4">
      <c r="A1" s="2"/>
      <c r="B1" s="2"/>
      <c r="C1" s="2"/>
      <c r="D1" s="2"/>
    </row>
    <row r="2" spans="1:4">
      <c r="A2" s="2"/>
      <c r="B2" s="2"/>
      <c r="C2" s="2"/>
      <c r="D2" s="2"/>
    </row>
    <row r="3" spans="1:4">
      <c r="A3" s="22" t="s">
        <v>26</v>
      </c>
      <c r="B3" s="39" t="s">
        <v>22</v>
      </c>
      <c r="C3" s="39" t="s">
        <v>23</v>
      </c>
      <c r="D3" s="39" t="s">
        <v>3</v>
      </c>
    </row>
    <row r="4" spans="1:4">
      <c r="A4" s="46" t="str">
        <f>IF(ISBLANK(SUBJECT_AREA[Reference]),TEXT(ROW(SUBJECT_AREA[[#This Row],[Reference]]),"00000")&amp;"|--",TEXT(ROW(SUBJECT_AREA[[#This Row],[Reference]]),"00000")&amp;"|"&amp;SUBJECT_AREA[[#This Row],[Name]])</f>
        <v>00004|Product Portfolio Management</v>
      </c>
      <c r="B4" s="39" t="s">
        <v>812</v>
      </c>
      <c r="C4" s="39" t="s">
        <v>91</v>
      </c>
      <c r="D4" s="39"/>
    </row>
    <row r="5" spans="1:4">
      <c r="A5" s="46" t="str">
        <f>IF(ISBLANK(SUBJECT_AREA[Reference]),TEXT(ROW(SUBJECT_AREA[[#This Row],[Reference]]),"00000")&amp;"|--",TEXT(ROW(SUBJECT_AREA[[#This Row],[Reference]]),"00000")&amp;"|"&amp;SUBJECT_AREA[[#This Row],[Name]])</f>
        <v>00005|Contract Risk Evaluation</v>
      </c>
      <c r="B5" s="39" t="s">
        <v>813</v>
      </c>
      <c r="C5" s="39" t="s">
        <v>92</v>
      </c>
      <c r="D5" s="39"/>
    </row>
    <row r="6" spans="1:4">
      <c r="A6" s="46" t="str">
        <f>IF(ISBLANK(SUBJECT_AREA[Reference]),TEXT(ROW(SUBJECT_AREA[[#This Row],[Reference]]),"00000")&amp;"|--",TEXT(ROW(SUBJECT_AREA[[#This Row],[Reference]]),"00000")&amp;"|"&amp;SUBJECT_AREA[[#This Row],[Name]])</f>
        <v>00006|Contract Lifecycle Management</v>
      </c>
      <c r="B6" s="39" t="s">
        <v>814</v>
      </c>
      <c r="C6" s="39" t="s">
        <v>93</v>
      </c>
      <c r="D6" s="39"/>
    </row>
    <row r="7" spans="1:4">
      <c r="A7" s="46" t="str">
        <f>IF(ISBLANK(SUBJECT_AREA[Reference]),TEXT(ROW(SUBJECT_AREA[[#This Row],[Reference]]),"00000")&amp;"|--",TEXT(ROW(SUBJECT_AREA[[#This Row],[Reference]]),"00000")&amp;"|"&amp;SUBJECT_AREA[[#This Row],[Name]])</f>
        <v>00007|Contract Portfolio Management</v>
      </c>
      <c r="B7" s="39" t="s">
        <v>815</v>
      </c>
      <c r="C7" s="39" t="s">
        <v>94</v>
      </c>
      <c r="D7" s="39"/>
    </row>
    <row r="8" spans="1:4">
      <c r="A8" s="46" t="str">
        <f>IF(ISBLANK(SUBJECT_AREA[Reference]),TEXT(ROW(SUBJECT_AREA[[#This Row],[Reference]]),"00000")&amp;"|--",TEXT(ROW(SUBJECT_AREA[[#This Row],[Reference]]),"00000")&amp;"|"&amp;SUBJECT_AREA[[#This Row],[Name]])</f>
        <v>00008|Claims Management</v>
      </c>
      <c r="B8" s="39" t="s">
        <v>816</v>
      </c>
      <c r="C8" s="39" t="s">
        <v>95</v>
      </c>
      <c r="D8" s="39"/>
    </row>
    <row r="9" spans="1:4">
      <c r="A9" s="46" t="str">
        <f>IF(ISBLANK(SUBJECT_AREA[Reference]),TEXT(ROW(SUBJECT_AREA[[#This Row],[Reference]]),"00000")&amp;"|--",TEXT(ROW(SUBJECT_AREA[[#This Row],[Reference]]),"00000")&amp;"|"&amp;SUBJECT_AREA[[#This Row],[Name]])</f>
        <v>00009|--</v>
      </c>
      <c r="B9" s="39"/>
      <c r="C9" s="39"/>
      <c r="D9" s="39"/>
    </row>
    <row r="10" spans="1:4">
      <c r="A10" s="46" t="str">
        <f>IF(ISBLANK(SUBJECT_AREA[Reference]),TEXT(ROW(SUBJECT_AREA[[#This Row],[Reference]]),"00000")&amp;"|--",TEXT(ROW(SUBJECT_AREA[[#This Row],[Reference]]),"00000")&amp;"|"&amp;SUBJECT_AREA[[#This Row],[Name]])</f>
        <v>00010|--</v>
      </c>
      <c r="B10" s="39"/>
      <c r="C10" s="39"/>
      <c r="D10" s="39"/>
    </row>
    <row r="11" spans="1:4">
      <c r="A11" s="46" t="str">
        <f>IF(ISBLANK(SUBJECT_AREA[Reference]),TEXT(ROW(SUBJECT_AREA[[#This Row],[Reference]]),"00000")&amp;"|--",TEXT(ROW(SUBJECT_AREA[[#This Row],[Reference]]),"00000")&amp;"|"&amp;SUBJECT_AREA[[#This Row],[Name]])</f>
        <v>00011|--</v>
      </c>
      <c r="B11" s="39"/>
      <c r="C11" s="39"/>
      <c r="D11" s="39"/>
    </row>
    <row r="12" spans="1:4">
      <c r="A12" s="46" t="str">
        <f>IF(ISBLANK(SUBJECT_AREA[Reference]),TEXT(ROW(SUBJECT_AREA[[#This Row],[Reference]]),"00000")&amp;"|--",TEXT(ROW(SUBJECT_AREA[[#This Row],[Reference]]),"00000")&amp;"|"&amp;SUBJECT_AREA[[#This Row],[Name]])</f>
        <v>00012|--</v>
      </c>
      <c r="B12" s="39"/>
      <c r="C12" s="39"/>
      <c r="D12" s="39"/>
    </row>
    <row r="13" spans="1:4">
      <c r="A13" s="46" t="str">
        <f>IF(ISBLANK(SUBJECT_AREA[Reference]),TEXT(ROW(SUBJECT_AREA[[#This Row],[Reference]]),"00000")&amp;"|--",TEXT(ROW(SUBJECT_AREA[[#This Row],[Reference]]),"00000")&amp;"|"&amp;SUBJECT_AREA[[#This Row],[Name]])</f>
        <v>00013|--</v>
      </c>
      <c r="B13" s="39"/>
      <c r="C13" s="39"/>
      <c r="D13" s="39"/>
    </row>
    <row r="14" spans="1:4">
      <c r="A14" s="46" t="str">
        <f>IF(ISBLANK(SUBJECT_AREA[Reference]),TEXT(ROW(SUBJECT_AREA[[#This Row],[Reference]]),"00000")&amp;"|--",TEXT(ROW(SUBJECT_AREA[[#This Row],[Reference]]),"00000")&amp;"|"&amp;SUBJECT_AREA[[#This Row],[Name]])</f>
        <v>00014|--</v>
      </c>
      <c r="B14" s="39"/>
      <c r="C14" s="39"/>
      <c r="D14" s="39"/>
    </row>
    <row r="15" spans="1:4">
      <c r="A15" s="46" t="str">
        <f>IF(ISBLANK(SUBJECT_AREA[Reference]),TEXT(ROW(SUBJECT_AREA[[#This Row],[Reference]]),"00000")&amp;"|--",TEXT(ROW(SUBJECT_AREA[[#This Row],[Reference]]),"00000")&amp;"|"&amp;SUBJECT_AREA[[#This Row],[Name]])</f>
        <v>00015|--</v>
      </c>
      <c r="B15" s="39"/>
      <c r="C15" s="39"/>
      <c r="D15" s="39"/>
    </row>
    <row r="16" spans="1:4">
      <c r="A16" s="46" t="str">
        <f>IF(ISBLANK(SUBJECT_AREA[Reference]),TEXT(ROW(SUBJECT_AREA[[#This Row],[Reference]]),"00000")&amp;"|--",TEXT(ROW(SUBJECT_AREA[[#This Row],[Reference]]),"00000")&amp;"|"&amp;SUBJECT_AREA[[#This Row],[Name]])</f>
        <v>00016|--</v>
      </c>
      <c r="B16" s="39"/>
      <c r="C16" s="39"/>
      <c r="D16" s="39"/>
    </row>
    <row r="17" spans="1:4">
      <c r="A17" s="46" t="str">
        <f>IF(ISBLANK(SUBJECT_AREA[Reference]),TEXT(ROW(SUBJECT_AREA[[#This Row],[Reference]]),"00000")&amp;"|--",TEXT(ROW(SUBJECT_AREA[[#This Row],[Reference]]),"00000")&amp;"|"&amp;SUBJECT_AREA[[#This Row],[Name]])</f>
        <v>00017|--</v>
      </c>
      <c r="B17" s="39"/>
      <c r="C17" s="39"/>
      <c r="D17" s="39"/>
    </row>
    <row r="18" spans="1:4">
      <c r="A18" s="46" t="str">
        <f>IF(ISBLANK(SUBJECT_AREA[Reference]),TEXT(ROW(SUBJECT_AREA[[#This Row],[Reference]]),"00000")&amp;"|--",TEXT(ROW(SUBJECT_AREA[[#This Row],[Reference]]),"00000")&amp;"|"&amp;SUBJECT_AREA[[#This Row],[Name]])</f>
        <v>00018|--</v>
      </c>
      <c r="B18" s="39"/>
      <c r="C18" s="39"/>
      <c r="D18" s="39"/>
    </row>
    <row r="19" spans="1:4">
      <c r="A19" s="46" t="str">
        <f>IF(ISBLANK(SUBJECT_AREA[Reference]),TEXT(ROW(SUBJECT_AREA[[#This Row],[Reference]]),"00000")&amp;"|--",TEXT(ROW(SUBJECT_AREA[[#This Row],[Reference]]),"00000")&amp;"|"&amp;SUBJECT_AREA[[#This Row],[Name]])</f>
        <v>00019|--</v>
      </c>
      <c r="B19" s="39"/>
      <c r="C19" s="39"/>
      <c r="D19" s="39"/>
    </row>
    <row r="20" spans="1:4">
      <c r="A20" s="46" t="str">
        <f>IF(ISBLANK(SUBJECT_AREA[Reference]),TEXT(ROW(SUBJECT_AREA[[#This Row],[Reference]]),"00000")&amp;"|--",TEXT(ROW(SUBJECT_AREA[[#This Row],[Reference]]),"00000")&amp;"|"&amp;SUBJECT_AREA[[#This Row],[Name]])</f>
        <v>00020|--</v>
      </c>
      <c r="B20" s="39"/>
      <c r="C20" s="39"/>
      <c r="D20" s="39"/>
    </row>
    <row r="21" spans="1:4">
      <c r="A21" s="46" t="str">
        <f>IF(ISBLANK(SUBJECT_AREA[Reference]),TEXT(ROW(SUBJECT_AREA[[#This Row],[Reference]]),"00000")&amp;"|--",TEXT(ROW(SUBJECT_AREA[[#This Row],[Reference]]),"00000")&amp;"|"&amp;SUBJECT_AREA[[#This Row],[Name]])</f>
        <v>00021|--</v>
      </c>
      <c r="B21" s="39"/>
      <c r="C21" s="39"/>
      <c r="D21" s="39"/>
    </row>
    <row r="22" spans="1:4">
      <c r="A22" s="46" t="str">
        <f>IF(ISBLANK(SUBJECT_AREA[Reference]),TEXT(ROW(SUBJECT_AREA[[#This Row],[Reference]]),"00000")&amp;"|--",TEXT(ROW(SUBJECT_AREA[[#This Row],[Reference]]),"00000")&amp;"|"&amp;SUBJECT_AREA[[#This Row],[Name]])</f>
        <v>00022|--</v>
      </c>
      <c r="B22" s="39"/>
      <c r="C22" s="39"/>
      <c r="D22" s="39"/>
    </row>
    <row r="23" spans="1:4">
      <c r="A23" s="46" t="str">
        <f>IF(ISBLANK(SUBJECT_AREA[Reference]),TEXT(ROW(SUBJECT_AREA[[#This Row],[Reference]]),"00000")&amp;"|--",TEXT(ROW(SUBJECT_AREA[[#This Row],[Reference]]),"00000")&amp;"|"&amp;SUBJECT_AREA[[#This Row],[Name]])</f>
        <v>00023|--</v>
      </c>
      <c r="B23" s="39"/>
      <c r="C23" s="39"/>
      <c r="D23" s="39"/>
    </row>
    <row r="24" spans="1:4">
      <c r="A24" s="46" t="str">
        <f>IF(ISBLANK(SUBJECT_AREA[Reference]),TEXT(ROW(SUBJECT_AREA[[#This Row],[Reference]]),"00000")&amp;"|--",TEXT(ROW(SUBJECT_AREA[[#This Row],[Reference]]),"00000")&amp;"|"&amp;SUBJECT_AREA[[#This Row],[Name]])</f>
        <v>00024|--</v>
      </c>
      <c r="B24" s="39"/>
      <c r="C24" s="39"/>
      <c r="D24" s="39"/>
    </row>
    <row r="25" spans="1:4">
      <c r="A25" s="46" t="str">
        <f>IF(ISBLANK(SUBJECT_AREA[Reference]),TEXT(ROW(SUBJECT_AREA[[#This Row],[Reference]]),"00000")&amp;"|--",TEXT(ROW(SUBJECT_AREA[[#This Row],[Reference]]),"00000")&amp;"|"&amp;SUBJECT_AREA[[#This Row],[Name]])</f>
        <v>00025|--</v>
      </c>
      <c r="B25" s="39"/>
      <c r="C25" s="39"/>
      <c r="D25" s="39"/>
    </row>
    <row r="26" spans="1:4">
      <c r="A26" s="46" t="str">
        <f>IF(ISBLANK(SUBJECT_AREA[Reference]),TEXT(ROW(SUBJECT_AREA[[#This Row],[Reference]]),"00000")&amp;"|--",TEXT(ROW(SUBJECT_AREA[[#This Row],[Reference]]),"00000")&amp;"|"&amp;SUBJECT_AREA[[#This Row],[Name]])</f>
        <v>00026|--</v>
      </c>
      <c r="B26" s="39"/>
      <c r="C26" s="39"/>
      <c r="D26" s="39"/>
    </row>
    <row r="27" spans="1:4">
      <c r="A27" s="46" t="str">
        <f>IF(ISBLANK(SUBJECT_AREA[Reference]),TEXT(ROW(SUBJECT_AREA[[#This Row],[Reference]]),"00000")&amp;"|--",TEXT(ROW(SUBJECT_AREA[[#This Row],[Reference]]),"00000")&amp;"|"&amp;SUBJECT_AREA[[#This Row],[Name]])</f>
        <v>00027|--</v>
      </c>
      <c r="B27" s="39"/>
      <c r="C27" s="39"/>
      <c r="D27" s="39"/>
    </row>
    <row r="28" spans="1:4">
      <c r="A28" s="46" t="str">
        <f>IF(ISBLANK(SUBJECT_AREA[Reference]),TEXT(ROW(SUBJECT_AREA[[#This Row],[Reference]]),"00000")&amp;"|--",TEXT(ROW(SUBJECT_AREA[[#This Row],[Reference]]),"00000")&amp;"|"&amp;SUBJECT_AREA[[#This Row],[Name]])</f>
        <v>00028|--</v>
      </c>
      <c r="B28" s="39"/>
      <c r="C28" s="39"/>
      <c r="D28" s="39"/>
    </row>
    <row r="29" spans="1:4">
      <c r="A29" s="46" t="str">
        <f>IF(ISBLANK(SUBJECT_AREA[Reference]),TEXT(ROW(SUBJECT_AREA[[#This Row],[Reference]]),"00000")&amp;"|--",TEXT(ROW(SUBJECT_AREA[[#This Row],[Reference]]),"00000")&amp;"|"&amp;SUBJECT_AREA[[#This Row],[Name]])</f>
        <v>00029|--</v>
      </c>
      <c r="B29" s="39"/>
      <c r="C29" s="39"/>
      <c r="D29" s="39"/>
    </row>
    <row r="30" spans="1:4">
      <c r="A30" s="46" t="str">
        <f>IF(ISBLANK(SUBJECT_AREA[Reference]),TEXT(ROW(SUBJECT_AREA[[#This Row],[Reference]]),"00000")&amp;"|--",TEXT(ROW(SUBJECT_AREA[[#This Row],[Reference]]),"00000")&amp;"|"&amp;SUBJECT_AREA[[#This Row],[Name]])</f>
        <v>00030|--</v>
      </c>
      <c r="B30" s="39"/>
      <c r="C30" s="39"/>
      <c r="D30" s="39"/>
    </row>
    <row r="31" spans="1:4">
      <c r="A31" s="46" t="str">
        <f>IF(ISBLANK(SUBJECT_AREA[Reference]),TEXT(ROW(SUBJECT_AREA[[#This Row],[Reference]]),"00000")&amp;"|--",TEXT(ROW(SUBJECT_AREA[[#This Row],[Reference]]),"00000")&amp;"|"&amp;SUBJECT_AREA[[#This Row],[Name]])</f>
        <v>00031|--</v>
      </c>
      <c r="B31" s="39"/>
      <c r="C31" s="39"/>
      <c r="D31" s="39"/>
    </row>
    <row r="32" spans="1:4">
      <c r="A32" s="46" t="str">
        <f>IF(ISBLANK(SUBJECT_AREA[Reference]),TEXT(ROW(SUBJECT_AREA[[#This Row],[Reference]]),"00000")&amp;"|--",TEXT(ROW(SUBJECT_AREA[[#This Row],[Reference]]),"00000")&amp;"|"&amp;SUBJECT_AREA[[#This Row],[Name]])</f>
        <v>00032|--</v>
      </c>
      <c r="B32" s="39"/>
      <c r="C32" s="39"/>
      <c r="D32" s="39"/>
    </row>
    <row r="33" spans="1:4">
      <c r="A33" s="46" t="str">
        <f>IF(ISBLANK(SUBJECT_AREA[Reference]),TEXT(ROW(SUBJECT_AREA[[#This Row],[Reference]]),"00000")&amp;"|--",TEXT(ROW(SUBJECT_AREA[[#This Row],[Reference]]),"00000")&amp;"|"&amp;SUBJECT_AREA[[#This Row],[Name]])</f>
        <v>00033|--</v>
      </c>
      <c r="B33" s="39"/>
      <c r="C33" s="39"/>
      <c r="D33" s="39"/>
    </row>
    <row r="34" spans="1:4">
      <c r="A34" s="46" t="str">
        <f>IF(ISBLANK(SUBJECT_AREA[Reference]),TEXT(ROW(SUBJECT_AREA[[#This Row],[Reference]]),"00000")&amp;"|--",TEXT(ROW(SUBJECT_AREA[[#This Row],[Reference]]),"00000")&amp;"|"&amp;SUBJECT_AREA[[#This Row],[Name]])</f>
        <v>00034|--</v>
      </c>
      <c r="B34" s="39"/>
      <c r="C34" s="39"/>
      <c r="D34" s="39"/>
    </row>
    <row r="35" spans="1:4">
      <c r="A35" s="46" t="str">
        <f>IF(ISBLANK(SUBJECT_AREA[Reference]),TEXT(ROW(SUBJECT_AREA[[#This Row],[Reference]]),"00000")&amp;"|--",TEXT(ROW(SUBJECT_AREA[[#This Row],[Reference]]),"00000")&amp;"|"&amp;SUBJECT_AREA[[#This Row],[Name]])</f>
        <v>00035|--</v>
      </c>
      <c r="B35" s="39"/>
      <c r="C35" s="39"/>
      <c r="D35" s="39"/>
    </row>
    <row r="36" spans="1:4">
      <c r="A36" s="46" t="str">
        <f>IF(ISBLANK(SUBJECT_AREA[Reference]),TEXT(ROW(SUBJECT_AREA[[#This Row],[Reference]]),"00000")&amp;"|--",TEXT(ROW(SUBJECT_AREA[[#This Row],[Reference]]),"00000")&amp;"|"&amp;SUBJECT_AREA[[#This Row],[Name]])</f>
        <v>00036|--</v>
      </c>
      <c r="B36" s="39"/>
      <c r="C36" s="39"/>
      <c r="D36" s="39"/>
    </row>
    <row r="37" spans="1:4">
      <c r="A37" s="46" t="str">
        <f>IF(ISBLANK(SUBJECT_AREA[Reference]),TEXT(ROW(SUBJECT_AREA[[#This Row],[Reference]]),"00000")&amp;"|--",TEXT(ROW(SUBJECT_AREA[[#This Row],[Reference]]),"00000")&amp;"|"&amp;SUBJECT_AREA[[#This Row],[Name]])</f>
        <v>00037|--</v>
      </c>
      <c r="B37" s="39"/>
      <c r="C37" s="39"/>
      <c r="D37" s="39"/>
    </row>
    <row r="38" spans="1:4">
      <c r="A38" s="46" t="str">
        <f>IF(ISBLANK(SUBJECT_AREA[Reference]),TEXT(ROW(SUBJECT_AREA[[#This Row],[Reference]]),"00000")&amp;"|--",TEXT(ROW(SUBJECT_AREA[[#This Row],[Reference]]),"00000")&amp;"|"&amp;SUBJECT_AREA[[#This Row],[Name]])</f>
        <v>00038|--</v>
      </c>
      <c r="B38" s="39"/>
      <c r="C38" s="39"/>
      <c r="D38" s="39"/>
    </row>
    <row r="39" spans="1:4">
      <c r="A39" s="46" t="str">
        <f>IF(ISBLANK(SUBJECT_AREA[Reference]),TEXT(ROW(SUBJECT_AREA[[#This Row],[Reference]]),"00000")&amp;"|--",TEXT(ROW(SUBJECT_AREA[[#This Row],[Reference]]),"00000")&amp;"|"&amp;SUBJECT_AREA[[#This Row],[Name]])</f>
        <v>00039|--</v>
      </c>
      <c r="B39" s="39"/>
      <c r="C39" s="39"/>
      <c r="D39" s="39"/>
    </row>
    <row r="40" spans="1:4">
      <c r="A40" s="46" t="str">
        <f>IF(ISBLANK(SUBJECT_AREA[Reference]),TEXT(ROW(SUBJECT_AREA[[#This Row],[Reference]]),"00000")&amp;"|--",TEXT(ROW(SUBJECT_AREA[[#This Row],[Reference]]),"00000")&amp;"|"&amp;SUBJECT_AREA[[#This Row],[Name]])</f>
        <v>00040|--</v>
      </c>
      <c r="B40" s="39"/>
      <c r="C40" s="39"/>
      <c r="D40" s="39"/>
    </row>
    <row r="41" spans="1:4">
      <c r="A41" s="46" t="str">
        <f>IF(ISBLANK(SUBJECT_AREA[Reference]),TEXT(ROW(SUBJECT_AREA[[#This Row],[Reference]]),"00000")&amp;"|--",TEXT(ROW(SUBJECT_AREA[[#This Row],[Reference]]),"00000")&amp;"|"&amp;SUBJECT_AREA[[#This Row],[Name]])</f>
        <v>00041|--</v>
      </c>
      <c r="B41" s="39"/>
      <c r="C41" s="39"/>
      <c r="D41" s="39"/>
    </row>
    <row r="42" spans="1:4">
      <c r="A42" s="46" t="str">
        <f>IF(ISBLANK(SUBJECT_AREA[Reference]),TEXT(ROW(SUBJECT_AREA[[#This Row],[Reference]]),"00000")&amp;"|--",TEXT(ROW(SUBJECT_AREA[[#This Row],[Reference]]),"00000")&amp;"|"&amp;SUBJECT_AREA[[#This Row],[Name]])</f>
        <v>00042|--</v>
      </c>
      <c r="B42" s="39"/>
      <c r="C42" s="39"/>
      <c r="D42" s="39"/>
    </row>
    <row r="43" spans="1:4">
      <c r="A43" s="46" t="str">
        <f>IF(ISBLANK(SUBJECT_AREA[Reference]),TEXT(ROW(SUBJECT_AREA[[#This Row],[Reference]]),"00000")&amp;"|--",TEXT(ROW(SUBJECT_AREA[[#This Row],[Reference]]),"00000")&amp;"|"&amp;SUBJECT_AREA[[#This Row],[Name]])</f>
        <v>00043|--</v>
      </c>
      <c r="B43" s="39"/>
      <c r="C43" s="39"/>
      <c r="D43" s="39"/>
    </row>
    <row r="44" spans="1:4">
      <c r="A44" s="46" t="str">
        <f>IF(ISBLANK(SUBJECT_AREA[Reference]),TEXT(ROW(SUBJECT_AREA[[#This Row],[Reference]]),"00000")&amp;"|--",TEXT(ROW(SUBJECT_AREA[[#This Row],[Reference]]),"00000")&amp;"|"&amp;SUBJECT_AREA[[#This Row],[Name]])</f>
        <v>00044|--</v>
      </c>
      <c r="B44" s="39"/>
      <c r="C44" s="39"/>
      <c r="D44" s="39"/>
    </row>
    <row r="45" spans="1:4">
      <c r="A45" s="46" t="str">
        <f>IF(ISBLANK(SUBJECT_AREA[Reference]),TEXT(ROW(SUBJECT_AREA[[#This Row],[Reference]]),"00000")&amp;"|--",TEXT(ROW(SUBJECT_AREA[[#This Row],[Reference]]),"00000")&amp;"|"&amp;SUBJECT_AREA[[#This Row],[Name]])</f>
        <v>00045|--</v>
      </c>
      <c r="B45" s="39"/>
      <c r="C45" s="39"/>
      <c r="D45" s="39"/>
    </row>
    <row r="46" spans="1:4">
      <c r="A46" s="46" t="str">
        <f>IF(ISBLANK(SUBJECT_AREA[Reference]),TEXT(ROW(SUBJECT_AREA[[#This Row],[Reference]]),"00000")&amp;"|--",TEXT(ROW(SUBJECT_AREA[[#This Row],[Reference]]),"00000")&amp;"|"&amp;SUBJECT_AREA[[#This Row],[Name]])</f>
        <v>00046|--</v>
      </c>
      <c r="B46" s="39"/>
      <c r="C46" s="39"/>
      <c r="D46" s="39"/>
    </row>
    <row r="47" spans="1:4">
      <c r="A47" s="46" t="str">
        <f>IF(ISBLANK(SUBJECT_AREA[Reference]),TEXT(ROW(SUBJECT_AREA[[#This Row],[Reference]]),"00000")&amp;"|--",TEXT(ROW(SUBJECT_AREA[[#This Row],[Reference]]),"00000")&amp;"|"&amp;SUBJECT_AREA[[#This Row],[Name]])</f>
        <v>00047|--</v>
      </c>
      <c r="B47" s="39"/>
      <c r="C47" s="39"/>
      <c r="D47" s="39"/>
    </row>
    <row r="48" spans="1:4">
      <c r="A48" s="46" t="str">
        <f>IF(ISBLANK(SUBJECT_AREA[Reference]),TEXT(ROW(SUBJECT_AREA[[#This Row],[Reference]]),"00000")&amp;"|--",TEXT(ROW(SUBJECT_AREA[[#This Row],[Reference]]),"00000")&amp;"|"&amp;SUBJECT_AREA[[#This Row],[Name]])</f>
        <v>00048|--</v>
      </c>
      <c r="B48" s="39"/>
      <c r="C48" s="39"/>
      <c r="D48" s="39"/>
    </row>
    <row r="49" spans="1:4">
      <c r="A49" s="46" t="str">
        <f>IF(ISBLANK(SUBJECT_AREA[Reference]),TEXT(ROW(SUBJECT_AREA[[#This Row],[Reference]]),"00000")&amp;"|--",TEXT(ROW(SUBJECT_AREA[[#This Row],[Reference]]),"00000")&amp;"|"&amp;SUBJECT_AREA[[#This Row],[Name]])</f>
        <v>00049|--</v>
      </c>
      <c r="B49" s="39"/>
      <c r="C49" s="39"/>
      <c r="D49" s="39"/>
    </row>
    <row r="50" spans="1:4">
      <c r="A50" s="46" t="str">
        <f>IF(ISBLANK(SUBJECT_AREA[Reference]),TEXT(ROW(SUBJECT_AREA[[#This Row],[Reference]]),"00000")&amp;"|--",TEXT(ROW(SUBJECT_AREA[[#This Row],[Reference]]),"00000")&amp;"|"&amp;SUBJECT_AREA[[#This Row],[Name]])</f>
        <v>00050|--</v>
      </c>
      <c r="B50" s="39"/>
      <c r="C50" s="39"/>
      <c r="D50" s="39"/>
    </row>
    <row r="51" spans="1:4">
      <c r="A51" s="46" t="str">
        <f>IF(ISBLANK(SUBJECT_AREA[Reference]),TEXT(ROW(SUBJECT_AREA[[#This Row],[Reference]]),"00000")&amp;"|--",TEXT(ROW(SUBJECT_AREA[[#This Row],[Reference]]),"00000")&amp;"|"&amp;SUBJECT_AREA[[#This Row],[Name]])</f>
        <v>00051|--</v>
      </c>
      <c r="B51" s="39"/>
      <c r="C51" s="39"/>
      <c r="D51" s="39"/>
    </row>
    <row r="52" spans="1:4">
      <c r="A52" s="46" t="str">
        <f>IF(ISBLANK(SUBJECT_AREA[Reference]),TEXT(ROW(SUBJECT_AREA[[#This Row],[Reference]]),"00000")&amp;"|--",TEXT(ROW(SUBJECT_AREA[[#This Row],[Reference]]),"00000")&amp;"|"&amp;SUBJECT_AREA[[#This Row],[Name]])</f>
        <v>00052|--</v>
      </c>
      <c r="B52" s="39"/>
      <c r="C52" s="39"/>
      <c r="D52" s="39"/>
    </row>
    <row r="53" spans="1:4">
      <c r="A53" s="46" t="str">
        <f>IF(ISBLANK(SUBJECT_AREA[Reference]),TEXT(ROW(SUBJECT_AREA[[#This Row],[Reference]]),"00000")&amp;"|--",TEXT(ROW(SUBJECT_AREA[[#This Row],[Reference]]),"00000")&amp;"|"&amp;SUBJECT_AREA[[#This Row],[Name]])</f>
        <v>00053|--</v>
      </c>
      <c r="B53" s="39"/>
      <c r="C53" s="39"/>
      <c r="D53" s="39"/>
    </row>
    <row r="54" spans="1:4">
      <c r="A54" s="46" t="str">
        <f>IF(ISBLANK(SUBJECT_AREA[Reference]),TEXT(ROW(SUBJECT_AREA[[#This Row],[Reference]]),"00000")&amp;"|--",TEXT(ROW(SUBJECT_AREA[[#This Row],[Reference]]),"00000")&amp;"|"&amp;SUBJECT_AREA[[#This Row],[Name]])</f>
        <v>00054|--</v>
      </c>
      <c r="B54" s="39"/>
      <c r="C54" s="39"/>
      <c r="D54" s="39"/>
    </row>
    <row r="55" spans="1:4">
      <c r="A55" s="46" t="str">
        <f>IF(ISBLANK(SUBJECT_AREA[Reference]),TEXT(ROW(SUBJECT_AREA[[#This Row],[Reference]]),"00000")&amp;"|--",TEXT(ROW(SUBJECT_AREA[[#This Row],[Reference]]),"00000")&amp;"|"&amp;SUBJECT_AREA[[#This Row],[Name]])</f>
        <v>00055|--</v>
      </c>
      <c r="B55" s="39"/>
      <c r="C55" s="39"/>
      <c r="D55" s="39"/>
    </row>
    <row r="56" spans="1:4">
      <c r="A56" s="46" t="str">
        <f>IF(ISBLANK(SUBJECT_AREA[Reference]),TEXT(ROW(SUBJECT_AREA[[#This Row],[Reference]]),"00000")&amp;"|--",TEXT(ROW(SUBJECT_AREA[[#This Row],[Reference]]),"00000")&amp;"|"&amp;SUBJECT_AREA[[#This Row],[Name]])</f>
        <v>00056|--</v>
      </c>
      <c r="B56" s="39"/>
      <c r="C56" s="39"/>
      <c r="D56" s="39"/>
    </row>
    <row r="57" spans="1:4">
      <c r="A57" s="46" t="str">
        <f>IF(ISBLANK(SUBJECT_AREA[Reference]),TEXT(ROW(SUBJECT_AREA[[#This Row],[Reference]]),"00000")&amp;"|--",TEXT(ROW(SUBJECT_AREA[[#This Row],[Reference]]),"00000")&amp;"|"&amp;SUBJECT_AREA[[#This Row],[Name]])</f>
        <v>00057|--</v>
      </c>
      <c r="B57" s="39"/>
      <c r="C57" s="39"/>
      <c r="D57" s="39"/>
    </row>
    <row r="58" spans="1:4">
      <c r="A58" s="46" t="str">
        <f>IF(ISBLANK(SUBJECT_AREA[Reference]),TEXT(ROW(SUBJECT_AREA[[#This Row],[Reference]]),"00000")&amp;"|--",TEXT(ROW(SUBJECT_AREA[[#This Row],[Reference]]),"00000")&amp;"|"&amp;SUBJECT_AREA[[#This Row],[Name]])</f>
        <v>00058|--</v>
      </c>
      <c r="B58" s="39"/>
      <c r="C58" s="39"/>
      <c r="D58" s="39"/>
    </row>
    <row r="59" spans="1:4">
      <c r="A59" s="46" t="str">
        <f>IF(ISBLANK(SUBJECT_AREA[Reference]),TEXT(ROW(SUBJECT_AREA[[#This Row],[Reference]]),"00000")&amp;"|--",TEXT(ROW(SUBJECT_AREA[[#This Row],[Reference]]),"00000")&amp;"|"&amp;SUBJECT_AREA[[#This Row],[Name]])</f>
        <v>00059|--</v>
      </c>
      <c r="B59" s="39"/>
      <c r="C59" s="39"/>
      <c r="D59" s="39"/>
    </row>
    <row r="60" spans="1:4">
      <c r="A60" s="46" t="str">
        <f>IF(ISBLANK(SUBJECT_AREA[Reference]),TEXT(ROW(SUBJECT_AREA[[#This Row],[Reference]]),"00000")&amp;"|--",TEXT(ROW(SUBJECT_AREA[[#This Row],[Reference]]),"00000")&amp;"|"&amp;SUBJECT_AREA[[#This Row],[Name]])</f>
        <v>00060|--</v>
      </c>
      <c r="B60" s="39"/>
      <c r="C60" s="39"/>
      <c r="D60" s="39"/>
    </row>
    <row r="61" spans="1:4">
      <c r="A61" s="46" t="str">
        <f>IF(ISBLANK(SUBJECT_AREA[Reference]),TEXT(ROW(SUBJECT_AREA[[#This Row],[Reference]]),"00000")&amp;"|--",TEXT(ROW(SUBJECT_AREA[[#This Row],[Reference]]),"00000")&amp;"|"&amp;SUBJECT_AREA[[#This Row],[Name]])</f>
        <v>00061|--</v>
      </c>
      <c r="B61" s="39"/>
      <c r="C61" s="39"/>
      <c r="D61" s="39"/>
    </row>
    <row r="62" spans="1:4">
      <c r="A62" s="46" t="str">
        <f>IF(ISBLANK(SUBJECT_AREA[Reference]),TEXT(ROW(SUBJECT_AREA[[#This Row],[Reference]]),"00000")&amp;"|--",TEXT(ROW(SUBJECT_AREA[[#This Row],[Reference]]),"00000")&amp;"|"&amp;SUBJECT_AREA[[#This Row],[Name]])</f>
        <v>00062|--</v>
      </c>
      <c r="B62" s="39"/>
      <c r="C62" s="39"/>
      <c r="D62" s="39"/>
    </row>
    <row r="63" spans="1:4">
      <c r="A63" s="46" t="str">
        <f>IF(ISBLANK(SUBJECT_AREA[Reference]),TEXT(ROW(SUBJECT_AREA[[#This Row],[Reference]]),"00000")&amp;"|--",TEXT(ROW(SUBJECT_AREA[[#This Row],[Reference]]),"00000")&amp;"|"&amp;SUBJECT_AREA[[#This Row],[Name]])</f>
        <v>00063|--</v>
      </c>
      <c r="B63" s="39"/>
      <c r="C63" s="39"/>
      <c r="D63" s="39"/>
    </row>
    <row r="64" spans="1:4">
      <c r="A64" s="46" t="str">
        <f>IF(ISBLANK(SUBJECT_AREA[Reference]),TEXT(ROW(SUBJECT_AREA[[#This Row],[Reference]]),"00000")&amp;"|--",TEXT(ROW(SUBJECT_AREA[[#This Row],[Reference]]),"00000")&amp;"|"&amp;SUBJECT_AREA[[#This Row],[Name]])</f>
        <v>00064|--</v>
      </c>
      <c r="B64" s="39"/>
      <c r="C64" s="39"/>
      <c r="D64" s="39"/>
    </row>
    <row r="65" spans="1:4">
      <c r="A65" s="46" t="str">
        <f>IF(ISBLANK(SUBJECT_AREA[Reference]),TEXT(ROW(SUBJECT_AREA[[#This Row],[Reference]]),"00000")&amp;"|--",TEXT(ROW(SUBJECT_AREA[[#This Row],[Reference]]),"00000")&amp;"|"&amp;SUBJECT_AREA[[#This Row],[Name]])</f>
        <v>00065|--</v>
      </c>
      <c r="B65" s="39"/>
      <c r="C65" s="39"/>
      <c r="D65" s="39"/>
    </row>
    <row r="66" spans="1:4">
      <c r="A66" s="46" t="str">
        <f>IF(ISBLANK(SUBJECT_AREA[Reference]),TEXT(ROW(SUBJECT_AREA[[#This Row],[Reference]]),"00000")&amp;"|--",TEXT(ROW(SUBJECT_AREA[[#This Row],[Reference]]),"00000")&amp;"|"&amp;SUBJECT_AREA[[#This Row],[Name]])</f>
        <v>00066|--</v>
      </c>
      <c r="B66" s="39"/>
      <c r="C66" s="39"/>
      <c r="D66" s="39"/>
    </row>
    <row r="67" spans="1:4">
      <c r="A67" s="46" t="str">
        <f>IF(ISBLANK(SUBJECT_AREA[Reference]),TEXT(ROW(SUBJECT_AREA[[#This Row],[Reference]]),"00000")&amp;"|--",TEXT(ROW(SUBJECT_AREA[[#This Row],[Reference]]),"00000")&amp;"|"&amp;SUBJECT_AREA[[#This Row],[Name]])</f>
        <v>00067|--</v>
      </c>
      <c r="B67" s="39"/>
      <c r="C67" s="39"/>
      <c r="D67" s="39"/>
    </row>
    <row r="68" spans="1:4">
      <c r="A68" s="46" t="str">
        <f>IF(ISBLANK(SUBJECT_AREA[Reference]),TEXT(ROW(SUBJECT_AREA[[#This Row],[Reference]]),"00000")&amp;"|--",TEXT(ROW(SUBJECT_AREA[[#This Row],[Reference]]),"00000")&amp;"|"&amp;SUBJECT_AREA[[#This Row],[Name]])</f>
        <v>00068|--</v>
      </c>
      <c r="B68" s="39"/>
      <c r="C68" s="39"/>
      <c r="D68" s="39"/>
    </row>
    <row r="69" spans="1:4">
      <c r="A69" s="46" t="str">
        <f>IF(ISBLANK(SUBJECT_AREA[Reference]),TEXT(ROW(SUBJECT_AREA[[#This Row],[Reference]]),"00000")&amp;"|--",TEXT(ROW(SUBJECT_AREA[[#This Row],[Reference]]),"00000")&amp;"|"&amp;SUBJECT_AREA[[#This Row],[Name]])</f>
        <v>00069|--</v>
      </c>
      <c r="B69" s="39"/>
      <c r="C69" s="39"/>
      <c r="D69" s="39"/>
    </row>
    <row r="70" spans="1:4">
      <c r="A70" s="46" t="str">
        <f>IF(ISBLANK(SUBJECT_AREA[Reference]),TEXT(ROW(SUBJECT_AREA[[#This Row],[Reference]]),"00000")&amp;"|--",TEXT(ROW(SUBJECT_AREA[[#This Row],[Reference]]),"00000")&amp;"|"&amp;SUBJECT_AREA[[#This Row],[Name]])</f>
        <v>00070|--</v>
      </c>
      <c r="B70" s="39"/>
      <c r="C70" s="39"/>
      <c r="D70" s="39"/>
    </row>
    <row r="71" spans="1:4">
      <c r="A71" s="46" t="str">
        <f>IF(ISBLANK(SUBJECT_AREA[Reference]),TEXT(ROW(SUBJECT_AREA[[#This Row],[Reference]]),"00000")&amp;"|--",TEXT(ROW(SUBJECT_AREA[[#This Row],[Reference]]),"00000")&amp;"|"&amp;SUBJECT_AREA[[#This Row],[Name]])</f>
        <v>00071|--</v>
      </c>
      <c r="B71" s="39"/>
      <c r="C71" s="39"/>
      <c r="D71" s="39"/>
    </row>
    <row r="72" spans="1:4">
      <c r="A72" s="46" t="str">
        <f>IF(ISBLANK(SUBJECT_AREA[Reference]),TEXT(ROW(SUBJECT_AREA[[#This Row],[Reference]]),"00000")&amp;"|--",TEXT(ROW(SUBJECT_AREA[[#This Row],[Reference]]),"00000")&amp;"|"&amp;SUBJECT_AREA[[#This Row],[Name]])</f>
        <v>00072|--</v>
      </c>
      <c r="B72" s="39"/>
      <c r="C72" s="39"/>
      <c r="D72" s="39"/>
    </row>
    <row r="73" spans="1:4">
      <c r="A73" s="46" t="str">
        <f>IF(ISBLANK(SUBJECT_AREA[Reference]),TEXT(ROW(SUBJECT_AREA[[#This Row],[Reference]]),"00000")&amp;"|--",TEXT(ROW(SUBJECT_AREA[[#This Row],[Reference]]),"00000")&amp;"|"&amp;SUBJECT_AREA[[#This Row],[Name]])</f>
        <v>00073|--</v>
      </c>
      <c r="B73" s="39"/>
      <c r="C73" s="39"/>
      <c r="D73" s="39"/>
    </row>
    <row r="74" spans="1:4">
      <c r="A74" s="46" t="str">
        <f>IF(ISBLANK(SUBJECT_AREA[Reference]),TEXT(ROW(SUBJECT_AREA[[#This Row],[Reference]]),"00000")&amp;"|--",TEXT(ROW(SUBJECT_AREA[[#This Row],[Reference]]),"00000")&amp;"|"&amp;SUBJECT_AREA[[#This Row],[Name]])</f>
        <v>00074|--</v>
      </c>
      <c r="B74" s="39"/>
      <c r="C74" s="39"/>
      <c r="D74" s="39"/>
    </row>
    <row r="75" spans="1:4">
      <c r="A75" s="46" t="str">
        <f>IF(ISBLANK(SUBJECT_AREA[Reference]),TEXT(ROW(SUBJECT_AREA[[#This Row],[Reference]]),"00000")&amp;"|--",TEXT(ROW(SUBJECT_AREA[[#This Row],[Reference]]),"00000")&amp;"|"&amp;SUBJECT_AREA[[#This Row],[Name]])</f>
        <v>00075|--</v>
      </c>
      <c r="B75" s="39"/>
      <c r="C75" s="39"/>
      <c r="D75" s="39"/>
    </row>
    <row r="76" spans="1:4">
      <c r="A76" s="46" t="str">
        <f>IF(ISBLANK(SUBJECT_AREA[Reference]),TEXT(ROW(SUBJECT_AREA[[#This Row],[Reference]]),"00000")&amp;"|--",TEXT(ROW(SUBJECT_AREA[[#This Row],[Reference]]),"00000")&amp;"|"&amp;SUBJECT_AREA[[#This Row],[Name]])</f>
        <v>00076|--</v>
      </c>
      <c r="B76" s="39"/>
      <c r="C76" s="39"/>
      <c r="D76" s="39"/>
    </row>
    <row r="77" spans="1:4">
      <c r="A77" s="46" t="str">
        <f>IF(ISBLANK(SUBJECT_AREA[Reference]),TEXT(ROW(SUBJECT_AREA[[#This Row],[Reference]]),"00000")&amp;"|--",TEXT(ROW(SUBJECT_AREA[[#This Row],[Reference]]),"00000")&amp;"|"&amp;SUBJECT_AREA[[#This Row],[Name]])</f>
        <v>00077|--</v>
      </c>
      <c r="B77" s="39"/>
      <c r="C77" s="39"/>
      <c r="D77" s="39"/>
    </row>
    <row r="78" spans="1:4">
      <c r="A78" s="46" t="str">
        <f>IF(ISBLANK(SUBJECT_AREA[Reference]),TEXT(ROW(SUBJECT_AREA[[#This Row],[Reference]]),"00000")&amp;"|--",TEXT(ROW(SUBJECT_AREA[[#This Row],[Reference]]),"00000")&amp;"|"&amp;SUBJECT_AREA[[#This Row],[Name]])</f>
        <v>00078|--</v>
      </c>
      <c r="B78" s="39"/>
      <c r="C78" s="39"/>
      <c r="D78" s="39"/>
    </row>
    <row r="79" spans="1:4">
      <c r="A79" s="46" t="str">
        <f>IF(ISBLANK(SUBJECT_AREA[Reference]),TEXT(ROW(SUBJECT_AREA[[#This Row],[Reference]]),"00000")&amp;"|--",TEXT(ROW(SUBJECT_AREA[[#This Row],[Reference]]),"00000")&amp;"|"&amp;SUBJECT_AREA[[#This Row],[Name]])</f>
        <v>00079|--</v>
      </c>
      <c r="B79" s="39"/>
      <c r="C79" s="39"/>
      <c r="D79" s="39"/>
    </row>
    <row r="80" spans="1:4">
      <c r="A80" s="46" t="str">
        <f>IF(ISBLANK(SUBJECT_AREA[Reference]),TEXT(ROW(SUBJECT_AREA[[#This Row],[Reference]]),"00000")&amp;"|--",TEXT(ROW(SUBJECT_AREA[[#This Row],[Reference]]),"00000")&amp;"|"&amp;SUBJECT_AREA[[#This Row],[Name]])</f>
        <v>00080|--</v>
      </c>
      <c r="B80" s="39"/>
      <c r="C80" s="39"/>
      <c r="D80" s="39"/>
    </row>
    <row r="81" spans="1:4">
      <c r="A81" s="46" t="str">
        <f>IF(ISBLANK(SUBJECT_AREA[Reference]),TEXT(ROW(SUBJECT_AREA[[#This Row],[Reference]]),"00000")&amp;"|--",TEXT(ROW(SUBJECT_AREA[[#This Row],[Reference]]),"00000")&amp;"|"&amp;SUBJECT_AREA[[#This Row],[Name]])</f>
        <v>00081|--</v>
      </c>
      <c r="B81" s="39"/>
      <c r="C81" s="39"/>
      <c r="D81" s="39"/>
    </row>
    <row r="82" spans="1:4">
      <c r="A82" s="46" t="str">
        <f>IF(ISBLANK(SUBJECT_AREA[Reference]),TEXT(ROW(SUBJECT_AREA[[#This Row],[Reference]]),"00000")&amp;"|--",TEXT(ROW(SUBJECT_AREA[[#This Row],[Reference]]),"00000")&amp;"|"&amp;SUBJECT_AREA[[#This Row],[Name]])</f>
        <v>00082|--</v>
      </c>
      <c r="B82" s="39"/>
      <c r="C82" s="39"/>
      <c r="D82" s="39"/>
    </row>
    <row r="83" spans="1:4">
      <c r="A83" s="46" t="str">
        <f>IF(ISBLANK(SUBJECT_AREA[Reference]),TEXT(ROW(SUBJECT_AREA[[#This Row],[Reference]]),"00000")&amp;"|--",TEXT(ROW(SUBJECT_AREA[[#This Row],[Reference]]),"00000")&amp;"|"&amp;SUBJECT_AREA[[#This Row],[Name]])</f>
        <v>00083|--</v>
      </c>
      <c r="B83" s="39"/>
      <c r="C83" s="39"/>
      <c r="D83" s="39"/>
    </row>
    <row r="84" spans="1:4">
      <c r="A84" s="46" t="str">
        <f>IF(ISBLANK(SUBJECT_AREA[Reference]),TEXT(ROW(SUBJECT_AREA[[#This Row],[Reference]]),"00000")&amp;"|--",TEXT(ROW(SUBJECT_AREA[[#This Row],[Reference]]),"00000")&amp;"|"&amp;SUBJECT_AREA[[#This Row],[Name]])</f>
        <v>00084|--</v>
      </c>
      <c r="B84" s="39"/>
      <c r="C84" s="39"/>
      <c r="D84" s="39"/>
    </row>
    <row r="85" spans="1:4">
      <c r="A85" s="46" t="str">
        <f>IF(ISBLANK(SUBJECT_AREA[Reference]),TEXT(ROW(SUBJECT_AREA[[#This Row],[Reference]]),"00000")&amp;"|--",TEXT(ROW(SUBJECT_AREA[[#This Row],[Reference]]),"00000")&amp;"|"&amp;SUBJECT_AREA[[#This Row],[Name]])</f>
        <v>00085|--</v>
      </c>
      <c r="B85" s="39"/>
      <c r="C85" s="39"/>
      <c r="D85" s="39"/>
    </row>
    <row r="86" spans="1:4">
      <c r="A86" s="46" t="str">
        <f>IF(ISBLANK(SUBJECT_AREA[Reference]),TEXT(ROW(SUBJECT_AREA[[#This Row],[Reference]]),"00000")&amp;"|--",TEXT(ROW(SUBJECT_AREA[[#This Row],[Reference]]),"00000")&amp;"|"&amp;SUBJECT_AREA[[#This Row],[Name]])</f>
        <v>00086|--</v>
      </c>
      <c r="B86" s="39"/>
      <c r="C86" s="39"/>
      <c r="D86" s="39"/>
    </row>
    <row r="87" spans="1:4">
      <c r="A87" s="46" t="str">
        <f>IF(ISBLANK(SUBJECT_AREA[Reference]),TEXT(ROW(SUBJECT_AREA[[#This Row],[Reference]]),"00000")&amp;"|--",TEXT(ROW(SUBJECT_AREA[[#This Row],[Reference]]),"00000")&amp;"|"&amp;SUBJECT_AREA[[#This Row],[Name]])</f>
        <v>00087|--</v>
      </c>
      <c r="B87" s="39"/>
      <c r="C87" s="39"/>
      <c r="D87" s="39"/>
    </row>
    <row r="88" spans="1:4">
      <c r="A88" s="46" t="str">
        <f>IF(ISBLANK(SUBJECT_AREA[Reference]),TEXT(ROW(SUBJECT_AREA[[#This Row],[Reference]]),"00000")&amp;"|--",TEXT(ROW(SUBJECT_AREA[[#This Row],[Reference]]),"00000")&amp;"|"&amp;SUBJECT_AREA[[#This Row],[Name]])</f>
        <v>00088|--</v>
      </c>
      <c r="B88" s="39"/>
      <c r="C88" s="39"/>
      <c r="D88" s="39"/>
    </row>
    <row r="89" spans="1:4">
      <c r="A89" s="46" t="str">
        <f>IF(ISBLANK(SUBJECT_AREA[Reference]),TEXT(ROW(SUBJECT_AREA[[#This Row],[Reference]]),"00000")&amp;"|--",TEXT(ROW(SUBJECT_AREA[[#This Row],[Reference]]),"00000")&amp;"|"&amp;SUBJECT_AREA[[#This Row],[Name]])</f>
        <v>00089|--</v>
      </c>
      <c r="B89" s="39"/>
      <c r="C89" s="39"/>
      <c r="D89" s="39"/>
    </row>
    <row r="90" spans="1:4">
      <c r="A90" s="46" t="str">
        <f>IF(ISBLANK(SUBJECT_AREA[Reference]),TEXT(ROW(SUBJECT_AREA[[#This Row],[Reference]]),"00000")&amp;"|--",TEXT(ROW(SUBJECT_AREA[[#This Row],[Reference]]),"00000")&amp;"|"&amp;SUBJECT_AREA[[#This Row],[Name]])</f>
        <v>00090|--</v>
      </c>
      <c r="B90" s="39"/>
      <c r="C90" s="39"/>
      <c r="D90" s="39"/>
    </row>
    <row r="91" spans="1:4">
      <c r="A91" s="46" t="str">
        <f>IF(ISBLANK(SUBJECT_AREA[Reference]),TEXT(ROW(SUBJECT_AREA[[#This Row],[Reference]]),"00000")&amp;"|--",TEXT(ROW(SUBJECT_AREA[[#This Row],[Reference]]),"00000")&amp;"|"&amp;SUBJECT_AREA[[#This Row],[Name]])</f>
        <v>00091|--</v>
      </c>
      <c r="B91" s="39"/>
      <c r="C91" s="39"/>
      <c r="D91" s="39"/>
    </row>
    <row r="92" spans="1:4">
      <c r="A92" s="46" t="str">
        <f>IF(ISBLANK(SUBJECT_AREA[Reference]),TEXT(ROW(SUBJECT_AREA[[#This Row],[Reference]]),"00000")&amp;"|--",TEXT(ROW(SUBJECT_AREA[[#This Row],[Reference]]),"00000")&amp;"|"&amp;SUBJECT_AREA[[#This Row],[Name]])</f>
        <v>00092|--</v>
      </c>
      <c r="B92" s="39"/>
      <c r="C92" s="39"/>
      <c r="D92" s="39"/>
    </row>
    <row r="93" spans="1:4">
      <c r="A93" s="46" t="str">
        <f>IF(ISBLANK(SUBJECT_AREA[Reference]),TEXT(ROW(SUBJECT_AREA[[#This Row],[Reference]]),"00000")&amp;"|--",TEXT(ROW(SUBJECT_AREA[[#This Row],[Reference]]),"00000")&amp;"|"&amp;SUBJECT_AREA[[#This Row],[Name]])</f>
        <v>00093|--</v>
      </c>
      <c r="B93" s="39"/>
      <c r="C93" s="39"/>
      <c r="D93" s="39"/>
    </row>
    <row r="94" spans="1:4">
      <c r="A94" s="46" t="str">
        <f>IF(ISBLANK(SUBJECT_AREA[Reference]),TEXT(ROW(SUBJECT_AREA[[#This Row],[Reference]]),"00000")&amp;"|--",TEXT(ROW(SUBJECT_AREA[[#This Row],[Reference]]),"00000")&amp;"|"&amp;SUBJECT_AREA[[#This Row],[Name]])</f>
        <v>00094|--</v>
      </c>
      <c r="B94" s="39"/>
      <c r="C94" s="39"/>
      <c r="D94" s="39"/>
    </row>
    <row r="95" spans="1:4">
      <c r="A95" s="46" t="str">
        <f>IF(ISBLANK(SUBJECT_AREA[Reference]),TEXT(ROW(SUBJECT_AREA[[#This Row],[Reference]]),"00000")&amp;"|--",TEXT(ROW(SUBJECT_AREA[[#This Row],[Reference]]),"00000")&amp;"|"&amp;SUBJECT_AREA[[#This Row],[Name]])</f>
        <v>00095|--</v>
      </c>
      <c r="B95" s="39"/>
      <c r="C95" s="39"/>
      <c r="D95" s="39"/>
    </row>
    <row r="96" spans="1:4">
      <c r="A96" s="46" t="str">
        <f>IF(ISBLANK(SUBJECT_AREA[Reference]),TEXT(ROW(SUBJECT_AREA[[#This Row],[Reference]]),"00000")&amp;"|--",TEXT(ROW(SUBJECT_AREA[[#This Row],[Reference]]),"00000")&amp;"|"&amp;SUBJECT_AREA[[#This Row],[Name]])</f>
        <v>00096|--</v>
      </c>
      <c r="B96" s="39"/>
      <c r="C96" s="39"/>
      <c r="D96" s="39"/>
    </row>
    <row r="97" spans="1:4">
      <c r="A97" s="46" t="str">
        <f>IF(ISBLANK(SUBJECT_AREA[Reference]),TEXT(ROW(SUBJECT_AREA[[#This Row],[Reference]]),"00000")&amp;"|--",TEXT(ROW(SUBJECT_AREA[[#This Row],[Reference]]),"00000")&amp;"|"&amp;SUBJECT_AREA[[#This Row],[Name]])</f>
        <v>00097|--</v>
      </c>
      <c r="B97" s="39"/>
      <c r="C97" s="39"/>
      <c r="D97" s="39"/>
    </row>
    <row r="98" spans="1:4">
      <c r="A98" s="46" t="str">
        <f>IF(ISBLANK(SUBJECT_AREA[Reference]),TEXT(ROW(SUBJECT_AREA[[#This Row],[Reference]]),"00000")&amp;"|--",TEXT(ROW(SUBJECT_AREA[[#This Row],[Reference]]),"00000")&amp;"|"&amp;SUBJECT_AREA[[#This Row],[Name]])</f>
        <v>00098|--</v>
      </c>
      <c r="B98" s="39"/>
      <c r="C98" s="39"/>
      <c r="D98" s="39"/>
    </row>
    <row r="99" spans="1:4">
      <c r="A99" s="46" t="str">
        <f>IF(ISBLANK(SUBJECT_AREA[Reference]),TEXT(ROW(SUBJECT_AREA[[#This Row],[Reference]]),"00000")&amp;"|--",TEXT(ROW(SUBJECT_AREA[[#This Row],[Reference]]),"00000")&amp;"|"&amp;SUBJECT_AREA[[#This Row],[Name]])</f>
        <v>00099|--</v>
      </c>
      <c r="B99" s="39"/>
      <c r="C99" s="39"/>
      <c r="D99" s="39"/>
    </row>
    <row r="100" spans="1:4">
      <c r="A100" s="46" t="str">
        <f>IF(ISBLANK(SUBJECT_AREA[Reference]),TEXT(ROW(SUBJECT_AREA[[#This Row],[Reference]]),"00000")&amp;"|--",TEXT(ROW(SUBJECT_AREA[[#This Row],[Reference]]),"00000")&amp;"|"&amp;SUBJECT_AREA[[#This Row],[Name]])</f>
        <v>00100|--</v>
      </c>
      <c r="B100" s="39"/>
      <c r="C100" s="39"/>
      <c r="D100" s="39"/>
    </row>
    <row r="101" spans="1:4">
      <c r="A101" s="46" t="str">
        <f>IF(ISBLANK(SUBJECT_AREA[Reference]),TEXT(ROW(SUBJECT_AREA[[#This Row],[Reference]]),"00000")&amp;"|--",TEXT(ROW(SUBJECT_AREA[[#This Row],[Reference]]),"00000")&amp;"|"&amp;SUBJECT_AREA[[#This Row],[Name]])</f>
        <v>00101|--</v>
      </c>
      <c r="B101" s="39"/>
      <c r="C101" s="39"/>
      <c r="D101" s="39"/>
    </row>
    <row r="102" spans="1:4">
      <c r="A102" s="46" t="str">
        <f>IF(ISBLANK(SUBJECT_AREA[Reference]),TEXT(ROW(SUBJECT_AREA[[#This Row],[Reference]]),"00000")&amp;"|--",TEXT(ROW(SUBJECT_AREA[[#This Row],[Reference]]),"00000")&amp;"|"&amp;SUBJECT_AREA[[#This Row],[Name]])</f>
        <v>00102|--</v>
      </c>
      <c r="B102" s="39"/>
      <c r="C102" s="39"/>
      <c r="D102" s="39"/>
    </row>
    <row r="103" spans="1:4">
      <c r="A103" s="46" t="str">
        <f>IF(ISBLANK(SUBJECT_AREA[Reference]),TEXT(ROW(SUBJECT_AREA[[#This Row],[Reference]]),"00000")&amp;"|--",TEXT(ROW(SUBJECT_AREA[[#This Row],[Reference]]),"00000")&amp;"|"&amp;SUBJECT_AREA[[#This Row],[Name]])</f>
        <v>00103|--</v>
      </c>
      <c r="B103" s="39"/>
      <c r="C103" s="39"/>
      <c r="D103" s="39"/>
    </row>
    <row r="104" spans="1:4">
      <c r="A104" s="46" t="str">
        <f>IF(ISBLANK(SUBJECT_AREA[Reference]),TEXT(ROW(SUBJECT_AREA[[#This Row],[Reference]]),"00000")&amp;"|--",TEXT(ROW(SUBJECT_AREA[[#This Row],[Reference]]),"00000")&amp;"|"&amp;SUBJECT_AREA[[#This Row],[Name]])</f>
        <v>00104|--</v>
      </c>
      <c r="B104" s="39"/>
      <c r="C104" s="39"/>
      <c r="D104" s="39"/>
    </row>
    <row r="105" spans="1:4">
      <c r="A105" s="46" t="str">
        <f>IF(ISBLANK(SUBJECT_AREA[Reference]),TEXT(ROW(SUBJECT_AREA[[#This Row],[Reference]]),"00000")&amp;"|--",TEXT(ROW(SUBJECT_AREA[[#This Row],[Reference]]),"00000")&amp;"|"&amp;SUBJECT_AREA[[#This Row],[Name]])</f>
        <v>00105|--</v>
      </c>
      <c r="B105" s="39"/>
      <c r="C105" s="39"/>
      <c r="D105" s="39"/>
    </row>
    <row r="106" spans="1:4">
      <c r="A106" s="46" t="str">
        <f>IF(ISBLANK(SUBJECT_AREA[Reference]),TEXT(ROW(SUBJECT_AREA[[#This Row],[Reference]]),"00000")&amp;"|--",TEXT(ROW(SUBJECT_AREA[[#This Row],[Reference]]),"00000")&amp;"|"&amp;SUBJECT_AREA[[#This Row],[Name]])</f>
        <v>00106|--</v>
      </c>
      <c r="B106" s="39"/>
      <c r="C106" s="39"/>
      <c r="D106" s="39"/>
    </row>
    <row r="107" spans="1:4">
      <c r="A107" s="46" t="str">
        <f>IF(ISBLANK(SUBJECT_AREA[Reference]),TEXT(ROW(SUBJECT_AREA[[#This Row],[Reference]]),"00000")&amp;"|--",TEXT(ROW(SUBJECT_AREA[[#This Row],[Reference]]),"00000")&amp;"|"&amp;SUBJECT_AREA[[#This Row],[Name]])</f>
        <v>00107|--</v>
      </c>
      <c r="B107" s="39"/>
      <c r="C107" s="39"/>
      <c r="D107" s="39"/>
    </row>
    <row r="108" spans="1:4">
      <c r="A108" s="46" t="str">
        <f>IF(ISBLANK(SUBJECT_AREA[Reference]),TEXT(ROW(SUBJECT_AREA[[#This Row],[Reference]]),"00000")&amp;"|--",TEXT(ROW(SUBJECT_AREA[[#This Row],[Reference]]),"00000")&amp;"|"&amp;SUBJECT_AREA[[#This Row],[Name]])</f>
        <v>00108|--</v>
      </c>
      <c r="B108" s="39"/>
      <c r="C108" s="39"/>
      <c r="D108" s="39"/>
    </row>
    <row r="109" spans="1:4">
      <c r="A109" s="46" t="str">
        <f>IF(ISBLANK(SUBJECT_AREA[Reference]),TEXT(ROW(SUBJECT_AREA[[#This Row],[Reference]]),"00000")&amp;"|--",TEXT(ROW(SUBJECT_AREA[[#This Row],[Reference]]),"00000")&amp;"|"&amp;SUBJECT_AREA[[#This Row],[Name]])</f>
        <v>00109|--</v>
      </c>
      <c r="B109" s="39"/>
      <c r="C109" s="39"/>
      <c r="D109" s="39"/>
    </row>
    <row r="110" spans="1:4">
      <c r="A110" s="46" t="str">
        <f>IF(ISBLANK(SUBJECT_AREA[Reference]),TEXT(ROW(SUBJECT_AREA[[#This Row],[Reference]]),"00000")&amp;"|--",TEXT(ROW(SUBJECT_AREA[[#This Row],[Reference]]),"00000")&amp;"|"&amp;SUBJECT_AREA[[#This Row],[Name]])</f>
        <v>00110|--</v>
      </c>
      <c r="B110" s="39"/>
      <c r="C110" s="39"/>
      <c r="D110" s="39"/>
    </row>
    <row r="111" spans="1:4">
      <c r="A111" s="46" t="str">
        <f>IF(ISBLANK(SUBJECT_AREA[Reference]),TEXT(ROW(SUBJECT_AREA[[#This Row],[Reference]]),"00000")&amp;"|--",TEXT(ROW(SUBJECT_AREA[[#This Row],[Reference]]),"00000")&amp;"|"&amp;SUBJECT_AREA[[#This Row],[Name]])</f>
        <v>00111|--</v>
      </c>
      <c r="B111" s="39"/>
      <c r="C111" s="39"/>
      <c r="D111" s="39"/>
    </row>
    <row r="112" spans="1:4">
      <c r="A112" s="46" t="str">
        <f>IF(ISBLANK(SUBJECT_AREA[Reference]),TEXT(ROW(SUBJECT_AREA[[#This Row],[Reference]]),"00000")&amp;"|--",TEXT(ROW(SUBJECT_AREA[[#This Row],[Reference]]),"00000")&amp;"|"&amp;SUBJECT_AREA[[#This Row],[Name]])</f>
        <v>00112|--</v>
      </c>
      <c r="B112" s="39"/>
      <c r="C112" s="39"/>
      <c r="D112" s="39"/>
    </row>
    <row r="113" spans="1:4">
      <c r="A113" s="46" t="str">
        <f>IF(ISBLANK(SUBJECT_AREA[Reference]),TEXT(ROW(SUBJECT_AREA[[#This Row],[Reference]]),"00000")&amp;"|--",TEXT(ROW(SUBJECT_AREA[[#This Row],[Reference]]),"00000")&amp;"|"&amp;SUBJECT_AREA[[#This Row],[Name]])</f>
        <v>00113|--</v>
      </c>
      <c r="B113" s="39"/>
      <c r="C113" s="39"/>
      <c r="D113" s="39"/>
    </row>
    <row r="114" spans="1:4">
      <c r="A114" s="46" t="str">
        <f>IF(ISBLANK(SUBJECT_AREA[Reference]),TEXT(ROW(SUBJECT_AREA[[#This Row],[Reference]]),"00000")&amp;"|--",TEXT(ROW(SUBJECT_AREA[[#This Row],[Reference]]),"00000")&amp;"|"&amp;SUBJECT_AREA[[#This Row],[Name]])</f>
        <v>00114|--</v>
      </c>
      <c r="B114" s="39"/>
      <c r="C114" s="39"/>
      <c r="D114" s="39"/>
    </row>
    <row r="115" spans="1:4">
      <c r="A115" s="44" t="str">
        <f>IF(ISBLANK(SUBJECT_AREA[Reference]),TEXT(ROW(SUBJECT_AREA[[#This Row],[Reference]]),"00000")&amp;"|--",TEXT(ROW(SUBJECT_AREA[[#This Row],[Reference]]),"00000")&amp;"|"&amp;SUBJECT_AREA[[#This Row],[Name]])</f>
        <v>00115|--</v>
      </c>
      <c r="B115" s="39"/>
      <c r="C115" s="39"/>
      <c r="D115" s="39"/>
    </row>
  </sheetData>
  <sheetProtection sheet="1" objects="1" scenarios="1" sort="0" autoFilter="0"/>
  <pageMargins left="0.7" right="0.7" top="0.75" bottom="0.75" header="0.3" footer="0.3"/>
  <pageSetup paperSize="9" orientation="portrait" r:id="rId1"/>
  <drawing r:id="rId2"/>
  <tableParts count="1">
    <tablePart r:id="rId3"/>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93B5FA-5419-43CE-9C0E-E38F6E358586}">
  <sheetPr codeName="Feuil29"/>
  <dimension ref="A1:E11"/>
  <sheetViews>
    <sheetView workbookViewId="0">
      <selection activeCell="A3" sqref="A3:D10"/>
    </sheetView>
  </sheetViews>
  <sheetFormatPr baseColWidth="10" defaultColWidth="11.42578125" defaultRowHeight="15"/>
  <cols>
    <col min="1" max="1" width="14.42578125" customWidth="1"/>
    <col min="2" max="2" width="20.7109375" customWidth="1"/>
    <col min="3" max="3" width="19.28515625" customWidth="1"/>
    <col min="4" max="4" width="37.5703125" customWidth="1"/>
    <col min="5" max="5" width="11.42578125" customWidth="1"/>
  </cols>
  <sheetData>
    <row r="1" spans="1:5">
      <c r="A1" s="1"/>
      <c r="B1" s="1"/>
      <c r="C1" s="1"/>
      <c r="D1" s="1"/>
      <c r="E1" s="72"/>
    </row>
    <row r="2" spans="1:5">
      <c r="A2" s="1"/>
      <c r="B2" s="1"/>
      <c r="C2" s="1"/>
      <c r="D2" s="1"/>
      <c r="E2" s="72"/>
    </row>
    <row r="3" spans="1:5">
      <c r="A3" s="39" t="s">
        <v>26</v>
      </c>
      <c r="B3" s="39" t="s">
        <v>22</v>
      </c>
      <c r="C3" s="39" t="s">
        <v>23</v>
      </c>
      <c r="D3" s="39" t="s">
        <v>3</v>
      </c>
      <c r="E3" s="72"/>
    </row>
    <row r="4" spans="1:5">
      <c r="A4" s="47" t="str">
        <f>IF(ISBLANK(BUSINESS_AREA[[#This Row],[Reference]]),TEXT(ROW(BUSINESS_AREA[[#This Row],[Reference]]),"00000")&amp;"|--",TEXT(ROW(BUSINESS_AREA[[#This Row],[Reference]]),"00000")&amp;"|"&amp;BUSINESS_AREA[[#This Row],[Name]])</f>
        <v>00004|Home</v>
      </c>
      <c r="B4" s="39" t="s">
        <v>96</v>
      </c>
      <c r="C4" s="39" t="s">
        <v>96</v>
      </c>
      <c r="D4" s="39"/>
      <c r="E4" s="72"/>
    </row>
    <row r="5" spans="1:5">
      <c r="A5" s="47" t="str">
        <f>IF(ISBLANK(BUSINESS_AREA[[#This Row],[Reference]]),TEXT(ROW(BUSINESS_AREA[[#This Row],[Reference]]),"00000")&amp;"|--",TEXT(ROW(BUSINESS_AREA[[#This Row],[Reference]]),"00000")&amp;"|"&amp;BUSINESS_AREA[[#This Row],[Name]])</f>
        <v>00005|Motor</v>
      </c>
      <c r="B5" s="39" t="s">
        <v>97</v>
      </c>
      <c r="C5" s="39" t="s">
        <v>97</v>
      </c>
      <c r="D5" s="39"/>
      <c r="E5" s="72"/>
    </row>
    <row r="6" spans="1:5">
      <c r="A6" s="47" t="str">
        <f>IF(ISBLANK(BUSINESS_AREA[[#This Row],[Reference]]),TEXT(ROW(BUSINESS_AREA[[#This Row],[Reference]]),"00000")&amp;"|--",TEXT(ROW(BUSINESS_AREA[[#This Row],[Reference]]),"00000")&amp;"|"&amp;BUSINESS_AREA[[#This Row],[Name]])</f>
        <v>00006|Travel</v>
      </c>
      <c r="B6" s="39" t="s">
        <v>98</v>
      </c>
      <c r="C6" s="39" t="s">
        <v>98</v>
      </c>
      <c r="D6" s="39"/>
      <c r="E6" s="72"/>
    </row>
    <row r="7" spans="1:5">
      <c r="A7" s="47" t="str">
        <f>IF(ISBLANK(BUSINESS_AREA[[#This Row],[Reference]]),TEXT(ROW(BUSINESS_AREA[[#This Row],[Reference]]),"00000")&amp;"|--",TEXT(ROW(BUSINESS_AREA[[#This Row],[Reference]]),"00000")&amp;"|"&amp;BUSINESS_AREA[[#This Row],[Name]])</f>
        <v>00007|Health</v>
      </c>
      <c r="B7" s="39" t="s">
        <v>99</v>
      </c>
      <c r="C7" s="39" t="s">
        <v>99</v>
      </c>
      <c r="D7" s="39"/>
      <c r="E7" s="72"/>
    </row>
    <row r="8" spans="1:5">
      <c r="A8" s="48" t="str">
        <f>IF(ISBLANK(BUSINESS_AREA[[#This Row],[Reference]]),TEXT(ROW(BUSINESS_AREA[[#This Row],[Reference]]),"00000")&amp;"|--",TEXT(ROW(BUSINESS_AREA[[#This Row],[Reference]]),"00000")&amp;"|"&amp;BUSINESS_AREA[[#This Row],[Name]])</f>
        <v>00008|Transversal</v>
      </c>
      <c r="B8" s="39" t="s">
        <v>8779</v>
      </c>
      <c r="C8" s="39" t="s">
        <v>8779</v>
      </c>
      <c r="D8" s="39"/>
      <c r="E8" s="72"/>
    </row>
    <row r="9" spans="1:5">
      <c r="A9" s="48" t="str">
        <f>IF(ISBLANK(BUSINESS_AREA[[#This Row],[Reference]]),TEXT(ROW(BUSINESS_AREA[[#This Row],[Reference]]),"00000")&amp;"|--",TEXT(ROW(BUSINESS_AREA[[#This Row],[Reference]]),"00000")&amp;"|"&amp;BUSINESS_AREA[[#This Row],[Name]])</f>
        <v>00009|--</v>
      </c>
      <c r="B9" s="39"/>
      <c r="C9" s="39"/>
      <c r="D9" s="39"/>
      <c r="E9" s="72"/>
    </row>
    <row r="10" spans="1:5">
      <c r="A10" s="48" t="str">
        <f>IF(ISBLANK(BUSINESS_AREA[[#This Row],[Reference]]),TEXT(ROW(BUSINESS_AREA[[#This Row],[Reference]]),"00000")&amp;"|--",TEXT(ROW(BUSINESS_AREA[[#This Row],[Reference]]),"00000")&amp;"|"&amp;BUSINESS_AREA[[#This Row],[Name]])</f>
        <v>00010|--</v>
      </c>
      <c r="B10" s="39"/>
      <c r="C10" s="39"/>
      <c r="D10" s="39"/>
      <c r="E10" s="72"/>
    </row>
    <row r="11" spans="1:5">
      <c r="A11" s="72"/>
      <c r="B11" s="72"/>
      <c r="C11" s="72"/>
      <c r="D11" s="72"/>
      <c r="E11" s="72"/>
    </row>
  </sheetData>
  <sheetProtection sheet="1" objects="1" scenarios="1" sort="0" autoFilter="0"/>
  <pageMargins left="0.7" right="0.7" top="0.75" bottom="0.75" header="0.3" footer="0.3"/>
  <pageSetup paperSize="9" orientation="portrait" r:id="rId1"/>
  <drawing r:id="rId2"/>
  <tableParts count="1">
    <tablePart r:id="rId3"/>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EE6181-EB4A-40DB-B46C-EF2E5BE6A75A}">
  <sheetPr codeName="Feuil33"/>
  <dimension ref="A1:I13"/>
  <sheetViews>
    <sheetView zoomScaleNormal="100" workbookViewId="0">
      <selection activeCell="H8" sqref="H8:H9"/>
    </sheetView>
  </sheetViews>
  <sheetFormatPr baseColWidth="10" defaultColWidth="11.42578125" defaultRowHeight="15" customHeight="1"/>
  <cols>
    <col min="1" max="1" width="24.5703125" customWidth="1"/>
    <col min="2" max="2" width="33.5703125" customWidth="1"/>
    <col min="3" max="8" width="21.28515625" customWidth="1"/>
    <col min="9" max="9" width="22" customWidth="1"/>
  </cols>
  <sheetData>
    <row r="1" spans="1:9">
      <c r="A1" s="2"/>
      <c r="B1" s="2"/>
      <c r="C1" s="2"/>
      <c r="D1" s="2"/>
      <c r="E1" s="2"/>
      <c r="F1" s="2"/>
      <c r="G1" s="2"/>
      <c r="H1" s="2"/>
    </row>
    <row r="2" spans="1:9">
      <c r="A2" s="2"/>
      <c r="B2" s="2"/>
      <c r="C2" s="2"/>
      <c r="D2" s="2"/>
      <c r="E2" s="2"/>
      <c r="F2" s="2"/>
      <c r="G2" s="2"/>
      <c r="H2" s="2"/>
    </row>
    <row r="3" spans="1:9">
      <c r="A3" s="39" t="s">
        <v>868</v>
      </c>
      <c r="B3" s="39" t="s">
        <v>869</v>
      </c>
      <c r="C3" s="40" t="s">
        <v>784</v>
      </c>
      <c r="D3" s="40" t="s">
        <v>785</v>
      </c>
      <c r="E3" s="40" t="s">
        <v>786</v>
      </c>
      <c r="F3" s="40" t="s">
        <v>8754</v>
      </c>
      <c r="G3" s="40" t="s">
        <v>688</v>
      </c>
      <c r="H3" s="40" t="s">
        <v>30</v>
      </c>
      <c r="I3" s="72"/>
    </row>
    <row r="4" spans="1:9">
      <c r="A4" s="83" t="s">
        <v>8760</v>
      </c>
      <c r="B4" s="39" t="s">
        <v>824</v>
      </c>
      <c r="C4" s="64" t="s">
        <v>8755</v>
      </c>
      <c r="D4" s="64" t="s">
        <v>8755</v>
      </c>
      <c r="E4" s="64" t="s">
        <v>8755</v>
      </c>
      <c r="F4" s="64" t="s">
        <v>8755</v>
      </c>
      <c r="G4" s="64"/>
      <c r="H4" s="64"/>
      <c r="I4" s="72"/>
    </row>
    <row r="5" spans="1:9">
      <c r="A5" s="84" t="s">
        <v>8759</v>
      </c>
      <c r="B5" s="39" t="s">
        <v>870</v>
      </c>
      <c r="C5" s="64"/>
      <c r="D5" s="64"/>
      <c r="E5" s="64"/>
      <c r="F5" s="64" t="s">
        <v>8755</v>
      </c>
      <c r="G5" s="64"/>
      <c r="H5" s="64"/>
      <c r="I5" s="72"/>
    </row>
    <row r="6" spans="1:9">
      <c r="A6" s="84" t="s">
        <v>8758</v>
      </c>
      <c r="B6" s="39" t="s">
        <v>871</v>
      </c>
      <c r="C6" s="64"/>
      <c r="D6" s="64"/>
      <c r="E6" s="64"/>
      <c r="F6" s="64" t="s">
        <v>8755</v>
      </c>
      <c r="G6" s="64"/>
      <c r="H6" s="64"/>
      <c r="I6" s="72"/>
    </row>
    <row r="7" spans="1:9">
      <c r="A7" s="84" t="s">
        <v>8756</v>
      </c>
      <c r="B7" s="39"/>
      <c r="C7" s="64"/>
      <c r="D7" s="64"/>
      <c r="E7" s="64"/>
      <c r="F7" s="64"/>
      <c r="G7" s="64" t="s">
        <v>8755</v>
      </c>
      <c r="H7" s="64"/>
      <c r="I7" s="72"/>
    </row>
    <row r="8" spans="1:9">
      <c r="A8" s="84" t="s">
        <v>8757</v>
      </c>
      <c r="B8" s="39"/>
      <c r="C8" s="64"/>
      <c r="D8" s="64"/>
      <c r="E8" s="64"/>
      <c r="F8" s="64"/>
      <c r="G8" s="64"/>
      <c r="H8" s="64" t="s">
        <v>8755</v>
      </c>
      <c r="I8" s="72"/>
    </row>
    <row r="9" spans="1:9">
      <c r="A9" s="84" t="s">
        <v>8766</v>
      </c>
      <c r="B9" s="39"/>
      <c r="C9" s="64"/>
      <c r="D9" s="64"/>
      <c r="E9" s="64"/>
      <c r="F9" s="64" t="s">
        <v>8755</v>
      </c>
      <c r="G9" s="64"/>
      <c r="H9" s="64" t="s">
        <v>8755</v>
      </c>
      <c r="I9" s="72"/>
    </row>
    <row r="10" spans="1:9">
      <c r="A10" s="64" t="s">
        <v>863</v>
      </c>
      <c r="B10" s="39"/>
      <c r="C10" s="64"/>
      <c r="D10" s="64"/>
      <c r="E10" s="64"/>
      <c r="F10" s="64"/>
      <c r="G10" s="64"/>
      <c r="H10" s="64"/>
      <c r="I10" s="72"/>
    </row>
    <row r="11" spans="1:9">
      <c r="A11" s="64" t="s">
        <v>863</v>
      </c>
      <c r="B11" s="39"/>
      <c r="C11" s="64"/>
      <c r="D11" s="64"/>
      <c r="E11" s="64"/>
      <c r="F11" s="64"/>
      <c r="G11" s="64"/>
      <c r="H11" s="64"/>
    </row>
    <row r="12" spans="1:9" ht="15" customHeight="1">
      <c r="A12" s="64" t="s">
        <v>863</v>
      </c>
      <c r="B12" s="39"/>
      <c r="C12" s="64"/>
      <c r="D12" s="64"/>
      <c r="E12" s="64"/>
      <c r="F12" s="64"/>
      <c r="G12" s="64"/>
      <c r="H12" s="64"/>
    </row>
    <row r="13" spans="1:9" ht="15" customHeight="1">
      <c r="A13" s="72"/>
      <c r="B13" s="72"/>
      <c r="C13" s="72"/>
      <c r="D13" s="72"/>
    </row>
  </sheetData>
  <sheetProtection sort="0" autoFilter="0"/>
  <dataValidations count="1">
    <dataValidation type="list" allowBlank="1" showInputMessage="1" showErrorMessage="1" sqref="C4:H12" xr:uid="{D053AC3E-FB12-4071-9447-43A497B9CBCC}">
      <formula1>"Yes,No"</formula1>
    </dataValidation>
  </dataValidations>
  <hyperlinks>
    <hyperlink ref="A4" r:id="rId1" xr:uid="{278E9B2B-45F0-4EEB-8AE2-4267BDBBE7FB}"/>
    <hyperlink ref="A7" r:id="rId2" xr:uid="{DD6017D9-8006-4B46-9E67-9A907059E6D6}"/>
    <hyperlink ref="A8" r:id="rId3" xr:uid="{739B8EF8-FC90-41CF-844F-8267213F8393}"/>
    <hyperlink ref="A6" r:id="rId4" xr:uid="{2BEA3D91-495E-46E8-A6B8-0D5A8C936F6E}"/>
    <hyperlink ref="A5" r:id="rId5" xr:uid="{E928C8A5-A666-49B1-913F-BADA48877B57}"/>
    <hyperlink ref="A9" r:id="rId6" xr:uid="{B1C04252-F6A9-4F11-AE65-4476F1E00A61}"/>
  </hyperlinks>
  <pageMargins left="0.7" right="0.7" top="0.75" bottom="0.75" header="0.3" footer="0.3"/>
  <pageSetup paperSize="9" orientation="portrait" r:id="rId7"/>
  <drawing r:id="rId8"/>
  <tableParts count="1">
    <tablePart r:id="rId9"/>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Feuil19"/>
  <dimension ref="A1:I12"/>
  <sheetViews>
    <sheetView zoomScaleNormal="100" workbookViewId="0">
      <selection activeCell="A9" sqref="A9"/>
    </sheetView>
  </sheetViews>
  <sheetFormatPr baseColWidth="10" defaultColWidth="11.42578125" defaultRowHeight="15"/>
  <cols>
    <col min="1" max="1" width="32" bestFit="1" customWidth="1"/>
    <col min="2" max="2" width="27.7109375" bestFit="1" customWidth="1"/>
    <col min="3" max="3" width="23.28515625" bestFit="1" customWidth="1"/>
    <col min="4" max="4" width="21.5703125" customWidth="1"/>
    <col min="5" max="5" width="23.28515625" bestFit="1" customWidth="1"/>
    <col min="6" max="8" width="20.85546875" customWidth="1"/>
    <col min="9" max="9" width="9.28515625" customWidth="1"/>
    <col min="10" max="10" width="10.42578125" customWidth="1"/>
  </cols>
  <sheetData>
    <row r="1" spans="1:9">
      <c r="A1" s="2"/>
      <c r="B1" s="2"/>
      <c r="C1" s="2"/>
      <c r="D1" s="2"/>
      <c r="E1" s="2"/>
      <c r="F1" s="2"/>
      <c r="G1" s="2"/>
      <c r="H1" s="2"/>
      <c r="I1" s="73"/>
    </row>
    <row r="2" spans="1:9">
      <c r="A2" s="2"/>
      <c r="B2" s="2"/>
      <c r="C2" s="2"/>
      <c r="D2" s="2"/>
      <c r="E2" s="2"/>
      <c r="F2" s="2"/>
      <c r="G2" s="2"/>
      <c r="H2" s="2"/>
      <c r="I2" s="73"/>
    </row>
    <row r="3" spans="1:9">
      <c r="A3" s="42" t="s">
        <v>26</v>
      </c>
      <c r="B3" s="40" t="s">
        <v>818</v>
      </c>
      <c r="C3" s="40" t="s">
        <v>819</v>
      </c>
      <c r="D3" s="40" t="s">
        <v>784</v>
      </c>
      <c r="E3" s="40" t="s">
        <v>785</v>
      </c>
      <c r="F3" s="40" t="s">
        <v>786</v>
      </c>
      <c r="G3" s="40" t="s">
        <v>8754</v>
      </c>
      <c r="H3" s="40" t="s">
        <v>787</v>
      </c>
      <c r="I3" s="73"/>
    </row>
    <row r="4" spans="1:9">
      <c r="A4" s="44" t="str">
        <f>IF(OR(ISBLANK(DATA_DOMAIN[[#This Row],[Subject Area - ID]]),ISBLANK(DATA_DOMAIN[[#This Row],[Business Area - ID]])),TEXT(ROW(DATA_DOMAIN[[#This Row],[ID]]),"00000")&amp;"|--",TEXT(ROW(DATA_DOMAIN[[#This Row],[ID]]),"00000")&amp;"|"&amp;RIGHT(DATA_DOMAIN[[#This Row],[Subject Area - ID]],LEN(DATA_DOMAIN[[#This Row],[Subject Area - ID]])-SEARCH("|",DATA_DOMAIN[[#This Row],[Subject Area - ID]]))&amp;"|"&amp;RIGHT(DATA_DOMAIN[[#This Row],[Business Area - ID]],LEN(DATA_DOMAIN[[#This Row],[Business Area - ID]])-SEARCH("|",DATA_DOMAIN[[#This Row],[Business Area - ID]])))</f>
        <v>00004|Contract Lifecycle Management|Home</v>
      </c>
      <c r="B4" s="41" t="s">
        <v>821</v>
      </c>
      <c r="C4" s="41" t="s">
        <v>823</v>
      </c>
      <c r="D4" s="41" t="s">
        <v>8760</v>
      </c>
      <c r="E4" s="41"/>
      <c r="F4" s="41"/>
      <c r="G4" s="41" t="s">
        <v>8762</v>
      </c>
      <c r="H4" s="41"/>
      <c r="I4" s="73"/>
    </row>
    <row r="5" spans="1:9">
      <c r="A5" s="44" t="str">
        <f>IF(OR(ISBLANK(DATA_DOMAIN[[#This Row],[Subject Area - ID]]),ISBLANK(DATA_DOMAIN[[#This Row],[Business Area - ID]])),TEXT(ROW(DATA_DOMAIN[[#This Row],[ID]]),"00000")&amp;"|--",TEXT(ROW(DATA_DOMAIN[[#This Row],[ID]]),"00000")&amp;"|"&amp;RIGHT(DATA_DOMAIN[[#This Row],[Subject Area - ID]],LEN(DATA_DOMAIN[[#This Row],[Subject Area - ID]])-SEARCH("|",DATA_DOMAIN[[#This Row],[Subject Area - ID]]))&amp;"|"&amp;RIGHT(DATA_DOMAIN[[#This Row],[Business Area - ID]],LEN(DATA_DOMAIN[[#This Row],[Business Area - ID]])-SEARCH("|",DATA_DOMAIN[[#This Row],[Business Area - ID]])))</f>
        <v>00005|Claims Management|Home</v>
      </c>
      <c r="B5" s="41" t="s">
        <v>822</v>
      </c>
      <c r="C5" s="41" t="s">
        <v>823</v>
      </c>
      <c r="D5" s="41" t="s">
        <v>8760</v>
      </c>
      <c r="E5" s="41"/>
      <c r="F5" s="41"/>
      <c r="G5" s="41" t="s">
        <v>8759</v>
      </c>
      <c r="H5" s="41"/>
      <c r="I5" s="73"/>
    </row>
    <row r="6" spans="1:9">
      <c r="A6" s="44" t="str">
        <f>IF(OR(ISBLANK(DATA_DOMAIN[[#This Row],[Subject Area - ID]]),ISBLANK(DATA_DOMAIN[[#This Row],[Business Area - ID]])),TEXT(ROW(DATA_DOMAIN[[#This Row],[ID]]),"00000")&amp;"|--",TEXT(ROW(DATA_DOMAIN[[#This Row],[ID]]),"00000")&amp;"|"&amp;RIGHT(DATA_DOMAIN[[#This Row],[Subject Area - ID]],LEN(DATA_DOMAIN[[#This Row],[Subject Area - ID]])-SEARCH("|",DATA_DOMAIN[[#This Row],[Subject Area - ID]]))&amp;"|"&amp;RIGHT(DATA_DOMAIN[[#This Row],[Business Area - ID]],LEN(DATA_DOMAIN[[#This Row],[Business Area - ID]])-SEARCH("|",DATA_DOMAIN[[#This Row],[Business Area - ID]])))</f>
        <v>00006|Contract Lifecycle Management|Transversal</v>
      </c>
      <c r="B6" s="41" t="s">
        <v>8780</v>
      </c>
      <c r="C6" s="41" t="s">
        <v>8781</v>
      </c>
      <c r="D6" s="41"/>
      <c r="E6" s="41"/>
      <c r="F6" s="41"/>
      <c r="G6" s="41"/>
      <c r="H6" s="41"/>
      <c r="I6" s="73"/>
    </row>
    <row r="7" spans="1:9">
      <c r="A7" s="44" t="str">
        <f>IF(OR(ISBLANK(DATA_DOMAIN[[#This Row],[Subject Area - ID]]),ISBLANK(DATA_DOMAIN[[#This Row],[Business Area - ID]])),TEXT(ROW(DATA_DOMAIN[[#This Row],[ID]]),"00000")&amp;"|--",TEXT(ROW(DATA_DOMAIN[[#This Row],[ID]]),"00000")&amp;"|"&amp;RIGHT(DATA_DOMAIN[[#This Row],[Subject Area - ID]],LEN(DATA_DOMAIN[[#This Row],[Subject Area - ID]])-SEARCH("|",DATA_DOMAIN[[#This Row],[Subject Area - ID]]))&amp;"|"&amp;RIGHT(DATA_DOMAIN[[#This Row],[Business Area - ID]],LEN(DATA_DOMAIN[[#This Row],[Business Area - ID]])-SEARCH("|",DATA_DOMAIN[[#This Row],[Business Area - ID]])))</f>
        <v>00007|--</v>
      </c>
      <c r="B7" s="41"/>
      <c r="C7" s="41"/>
      <c r="D7" s="41"/>
      <c r="E7" s="41"/>
      <c r="F7" s="41"/>
      <c r="G7" s="41"/>
      <c r="H7" s="41"/>
      <c r="I7" s="73"/>
    </row>
    <row r="8" spans="1:9">
      <c r="A8" s="44" t="str">
        <f>IF(OR(ISBLANK(DATA_DOMAIN[[#This Row],[Subject Area - ID]]),ISBLANK(DATA_DOMAIN[[#This Row],[Business Area - ID]])),TEXT(ROW(DATA_DOMAIN[[#This Row],[ID]]),"00000")&amp;"|--",TEXT(ROW(DATA_DOMAIN[[#This Row],[ID]]),"00000")&amp;"|"&amp;RIGHT(DATA_DOMAIN[[#This Row],[Subject Area - ID]],LEN(DATA_DOMAIN[[#This Row],[Subject Area - ID]])-SEARCH("|",DATA_DOMAIN[[#This Row],[Subject Area - ID]]))&amp;"|"&amp;RIGHT(DATA_DOMAIN[[#This Row],[Business Area - ID]],LEN(DATA_DOMAIN[[#This Row],[Business Area - ID]])-SEARCH("|",DATA_DOMAIN[[#This Row],[Business Area - ID]])))</f>
        <v>00008|--</v>
      </c>
      <c r="B8" s="41"/>
      <c r="C8" s="41"/>
      <c r="D8" s="41"/>
      <c r="E8" s="41"/>
      <c r="F8" s="41"/>
      <c r="G8" s="41"/>
      <c r="H8" s="41"/>
      <c r="I8" s="73"/>
    </row>
    <row r="9" spans="1:9">
      <c r="A9" s="44" t="str">
        <f>IF(OR(ISBLANK(DATA_DOMAIN[[#This Row],[Subject Area - ID]]),ISBLANK(DATA_DOMAIN[[#This Row],[Business Area - ID]])),TEXT(ROW(DATA_DOMAIN[[#This Row],[ID]]),"00000")&amp;"|--",TEXT(ROW(DATA_DOMAIN[[#This Row],[ID]]),"00000")&amp;"|"&amp;RIGHT(DATA_DOMAIN[[#This Row],[Subject Area - ID]],LEN(DATA_DOMAIN[[#This Row],[Subject Area - ID]])-SEARCH("|",DATA_DOMAIN[[#This Row],[Subject Area - ID]]))&amp;"|"&amp;RIGHT(DATA_DOMAIN[[#This Row],[Business Area - ID]],LEN(DATA_DOMAIN[[#This Row],[Business Area - ID]])-SEARCH("|",DATA_DOMAIN[[#This Row],[Business Area - ID]])))</f>
        <v>00009|--</v>
      </c>
      <c r="B9" s="41"/>
      <c r="C9" s="41"/>
      <c r="D9" s="41"/>
      <c r="E9" s="41"/>
      <c r="F9" s="41"/>
      <c r="G9" s="41"/>
      <c r="H9" s="41"/>
      <c r="I9" s="73"/>
    </row>
    <row r="10" spans="1:9">
      <c r="A10" s="44" t="str">
        <f>IF(OR(ISBLANK(DATA_DOMAIN[[#This Row],[Subject Area - ID]]),ISBLANK(DATA_DOMAIN[[#This Row],[Business Area - ID]])),TEXT(ROW(DATA_DOMAIN[[#This Row],[ID]]),"00000")&amp;"|--",TEXT(ROW(DATA_DOMAIN[[#This Row],[ID]]),"00000")&amp;"|"&amp;RIGHT(DATA_DOMAIN[[#This Row],[Subject Area - ID]],LEN(DATA_DOMAIN[[#This Row],[Subject Area - ID]])-SEARCH("|",DATA_DOMAIN[[#This Row],[Subject Area - ID]]))&amp;"|"&amp;RIGHT(DATA_DOMAIN[[#This Row],[Business Area - ID]],LEN(DATA_DOMAIN[[#This Row],[Business Area - ID]])-SEARCH("|",DATA_DOMAIN[[#This Row],[Business Area - ID]])))</f>
        <v>00010|--</v>
      </c>
      <c r="B10" s="41"/>
      <c r="C10" s="41"/>
      <c r="D10" s="41"/>
      <c r="E10" s="41"/>
      <c r="F10" s="41"/>
      <c r="G10" s="41"/>
      <c r="H10" s="41"/>
      <c r="I10" s="73"/>
    </row>
    <row r="11" spans="1:9">
      <c r="A11" s="73"/>
      <c r="B11" s="73"/>
      <c r="C11" s="73"/>
      <c r="D11" s="73"/>
      <c r="E11" s="73"/>
      <c r="F11" s="73"/>
      <c r="G11" s="73"/>
      <c r="H11" s="73"/>
      <c r="I11" s="73"/>
    </row>
    <row r="12" spans="1:9">
      <c r="A12" s="72"/>
      <c r="B12" s="72"/>
      <c r="C12" s="72"/>
      <c r="D12" s="72"/>
      <c r="E12" s="72"/>
      <c r="F12" s="72"/>
      <c r="G12" s="72"/>
      <c r="H12" s="72"/>
    </row>
  </sheetData>
  <sheetProtection sort="0" autoFilter="0"/>
  <dataValidations count="2">
    <dataValidation type="list" errorStyle="information" allowBlank="1" showInputMessage="1" showErrorMessage="1" errorTitle="Entry not allowed" error="Value not allowed" sqref="C4:C10" xr:uid="{00000000-0002-0000-1200-000000000000}">
      <formula1>INDIRECT("BUSINESS_AREA[ID]")</formula1>
    </dataValidation>
    <dataValidation type="list" allowBlank="1" showInputMessage="1" showErrorMessage="1" sqref="B4:B10" xr:uid="{EFD8D6F0-FECC-467C-A0BB-7EFB2D591569}">
      <formula1>INDIRECT("SUBJECT_AREA[ID]")</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5124" r:id="rId4" name="CheckBox_dgov_ddomain">
          <controlPr defaultSize="0" autoFill="0" autoLine="0" r:id="rId5">
            <anchor moveWithCells="1">
              <from>
                <xdr:col>1</xdr:col>
                <xdr:colOff>847725</xdr:colOff>
                <xdr:row>0</xdr:row>
                <xdr:rowOff>47625</xdr:rowOff>
              </from>
              <to>
                <xdr:col>2</xdr:col>
                <xdr:colOff>781050</xdr:colOff>
                <xdr:row>1</xdr:row>
                <xdr:rowOff>123825</xdr:rowOff>
              </to>
            </anchor>
          </controlPr>
        </control>
      </mc:Choice>
      <mc:Fallback>
        <control shapeId="5124" r:id="rId4" name="CheckBox_dgov_ddomain"/>
      </mc:Fallback>
    </mc:AlternateContent>
  </controls>
  <tableParts count="1">
    <tablePart r:id="rId6"/>
  </tablePart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6611FC-575F-4AF5-91FC-ED1C446D3868}">
  <sheetPr codeName="Feuil40"/>
  <dimension ref="A1:G11"/>
  <sheetViews>
    <sheetView workbookViewId="0">
      <selection activeCell="B6" sqref="B6:F6"/>
    </sheetView>
  </sheetViews>
  <sheetFormatPr baseColWidth="10" defaultRowHeight="15"/>
  <cols>
    <col min="1" max="1" width="33.5703125" customWidth="1"/>
    <col min="2" max="5" width="21.42578125" customWidth="1"/>
    <col min="6" max="6" width="47.42578125" customWidth="1"/>
  </cols>
  <sheetData>
    <row r="1" spans="1:7">
      <c r="A1" s="2"/>
      <c r="B1" s="2"/>
      <c r="C1" s="2"/>
      <c r="D1" s="2"/>
      <c r="E1" s="2"/>
      <c r="F1" s="2"/>
      <c r="G1" s="73"/>
    </row>
    <row r="2" spans="1:7">
      <c r="A2" s="2"/>
      <c r="B2" s="2"/>
      <c r="C2" s="2"/>
      <c r="D2" s="2"/>
      <c r="E2" s="2"/>
      <c r="F2" s="2"/>
      <c r="G2" s="73"/>
    </row>
    <row r="3" spans="1:7">
      <c r="A3" s="22" t="s">
        <v>26</v>
      </c>
      <c r="B3" s="39" t="s">
        <v>22</v>
      </c>
      <c r="C3" s="39" t="s">
        <v>23</v>
      </c>
      <c r="D3" s="39" t="s">
        <v>3</v>
      </c>
      <c r="E3" s="39" t="s">
        <v>786</v>
      </c>
      <c r="F3" s="39" t="s">
        <v>8754</v>
      </c>
      <c r="G3" s="72"/>
    </row>
    <row r="4" spans="1:7">
      <c r="A4" s="46" t="str">
        <f>IF(ISBLANK(TEAMS[Reference]),TEXT(ROW(TEAMS[[#This Row],[Reference]]),"00000")&amp;"|--",TEXT(ROW(TEAMS[[#This Row],[Reference]]),"00000")&amp;"|"&amp;TEAMS[[#This Row],[Name]])</f>
        <v>00004|HR recruitment</v>
      </c>
      <c r="B4" s="39" t="s">
        <v>864</v>
      </c>
      <c r="C4" s="39" t="s">
        <v>861</v>
      </c>
      <c r="D4" s="39"/>
      <c r="E4" s="39"/>
      <c r="F4" s="39" t="s">
        <v>8768</v>
      </c>
      <c r="G4" s="72"/>
    </row>
    <row r="5" spans="1:7">
      <c r="A5" s="46" t="str">
        <f>IF(ISBLANK(TEAMS[Reference]),TEXT(ROW(TEAMS[[#This Row],[Reference]]),"00000")&amp;"|--",TEXT(ROW(TEAMS[[#This Row],[Reference]]),"00000")&amp;"|"&amp;TEAMS[[#This Row],[Name]])</f>
        <v>00005|Contrat management</v>
      </c>
      <c r="B5" s="39" t="s">
        <v>865</v>
      </c>
      <c r="C5" s="39" t="s">
        <v>862</v>
      </c>
      <c r="D5" s="39"/>
      <c r="E5" s="39"/>
      <c r="F5" s="39" t="s">
        <v>872</v>
      </c>
      <c r="G5" s="72"/>
    </row>
    <row r="6" spans="1:7">
      <c r="A6" s="46" t="str">
        <f>IF(ISBLANK(TEAMS[Reference]),TEXT(ROW(TEAMS[[#This Row],[Reference]]),"00000")&amp;"|--",TEXT(ROW(TEAMS[[#This Row],[Reference]]),"00000")&amp;"|"&amp;TEAMS[[#This Row],[Name]])</f>
        <v>00006|--</v>
      </c>
      <c r="B6" s="39"/>
      <c r="C6" s="39"/>
      <c r="D6" s="39"/>
      <c r="E6" s="39"/>
      <c r="F6" s="39"/>
      <c r="G6" s="72"/>
    </row>
    <row r="7" spans="1:7">
      <c r="A7" s="46" t="str">
        <f>IF(ISBLANK(TEAMS[Reference]),TEXT(ROW(TEAMS[[#This Row],[Reference]]),"00000")&amp;"|--",TEXT(ROW(TEAMS[[#This Row],[Reference]]),"00000")&amp;"|"&amp;TEAMS[[#This Row],[Name]])</f>
        <v>00007|--</v>
      </c>
      <c r="B7" s="39"/>
      <c r="C7" s="39"/>
      <c r="D7" s="39"/>
      <c r="E7" s="39"/>
      <c r="F7" s="39"/>
      <c r="G7" s="72"/>
    </row>
    <row r="8" spans="1:7">
      <c r="A8" s="46" t="str">
        <f>IF(ISBLANK(TEAMS[Reference]),TEXT(ROW(TEAMS[[#This Row],[Reference]]),"00000")&amp;"|--",TEXT(ROW(TEAMS[[#This Row],[Reference]]),"00000")&amp;"|"&amp;TEAMS[[#This Row],[Name]])</f>
        <v>00008|--</v>
      </c>
      <c r="B8" s="39"/>
      <c r="C8" s="39"/>
      <c r="D8" s="39"/>
      <c r="E8" s="39"/>
      <c r="F8" s="39"/>
      <c r="G8" s="72"/>
    </row>
    <row r="9" spans="1:7">
      <c r="A9" s="46" t="str">
        <f>IF(ISBLANK(TEAMS[Reference]),TEXT(ROW(TEAMS[[#This Row],[Reference]]),"00000")&amp;"|--",TEXT(ROW(TEAMS[[#This Row],[Reference]]),"00000")&amp;"|"&amp;TEAMS[[#This Row],[Name]])</f>
        <v>00009|--</v>
      </c>
      <c r="B9" s="39"/>
      <c r="C9" s="39"/>
      <c r="D9" s="39"/>
      <c r="E9" s="39"/>
      <c r="F9" s="39"/>
      <c r="G9" s="72"/>
    </row>
    <row r="10" spans="1:7">
      <c r="A10" s="46" t="str">
        <f>IF(ISBLANK(TEAMS[Reference]),TEXT(ROW(TEAMS[[#This Row],[Reference]]),"00000")&amp;"|--",TEXT(ROW(TEAMS[[#This Row],[Reference]]),"00000")&amp;"|"&amp;TEAMS[[#This Row],[Name]])</f>
        <v>00010|--</v>
      </c>
      <c r="B10" s="39"/>
      <c r="C10" s="39"/>
      <c r="D10" s="39"/>
      <c r="E10" s="39"/>
      <c r="F10" s="39"/>
      <c r="G10" s="72"/>
    </row>
    <row r="11" spans="1:7">
      <c r="A11" s="72"/>
      <c r="B11" s="72"/>
      <c r="C11" s="72"/>
      <c r="D11" s="72"/>
      <c r="E11" s="72"/>
      <c r="F11" s="72"/>
      <c r="G11" s="72"/>
    </row>
  </sheetData>
  <sheetProtection sheet="1" objects="1" scenarios="1" sort="0" autoFilter="0"/>
  <pageMargins left="0.7" right="0.7" top="0.75" bottom="0.75" header="0.3" footer="0.3"/>
  <pageSetup paperSize="9" orientation="portrait" r:id="rId1"/>
  <drawing r:id="rId2"/>
  <legacyDrawing r:id="rId3"/>
  <controls>
    <mc:AlternateContent xmlns:mc="http://schemas.openxmlformats.org/markup-compatibility/2006">
      <mc:Choice Requires="x14">
        <control shapeId="6148" r:id="rId4" name="CheckBox_dgov_team">
          <controlPr defaultSize="0" autoFill="0" autoLine="0" r:id="rId5">
            <anchor moveWithCells="1">
              <from>
                <xdr:col>1</xdr:col>
                <xdr:colOff>1085850</xdr:colOff>
                <xdr:row>0</xdr:row>
                <xdr:rowOff>57150</xdr:rowOff>
              </from>
              <to>
                <xdr:col>3</xdr:col>
                <xdr:colOff>9525</xdr:colOff>
                <xdr:row>1</xdr:row>
                <xdr:rowOff>133350</xdr:rowOff>
              </to>
            </anchor>
          </controlPr>
        </control>
      </mc:Choice>
      <mc:Fallback>
        <control shapeId="6148" r:id="rId4" name="CheckBox_dgov_team"/>
      </mc:Fallback>
    </mc:AlternateContent>
  </controls>
  <tableParts count="1">
    <tablePart r:id="rId6"/>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4"/>
  <dimension ref="B1:Y252"/>
  <sheetViews>
    <sheetView zoomScale="85" zoomScaleNormal="85" workbookViewId="0">
      <selection activeCell="N5" sqref="N5"/>
    </sheetView>
  </sheetViews>
  <sheetFormatPr baseColWidth="10" defaultRowHeight="15"/>
  <cols>
    <col min="1" max="1" width="6.85546875" customWidth="1"/>
    <col min="2" max="2" width="20.85546875" bestFit="1" customWidth="1"/>
    <col min="3" max="3" width="42.140625" bestFit="1" customWidth="1"/>
    <col min="4" max="4" width="17.140625" bestFit="1" customWidth="1"/>
    <col min="5" max="5" width="7.42578125" bestFit="1" customWidth="1"/>
    <col min="6" max="6" width="17.85546875" bestFit="1" customWidth="1"/>
    <col min="7" max="7" width="15.5703125" bestFit="1" customWidth="1"/>
    <col min="8" max="8" width="28" bestFit="1" customWidth="1"/>
    <col min="9" max="9" width="28.140625" bestFit="1" customWidth="1"/>
    <col min="10" max="10" width="24.5703125" bestFit="1" customWidth="1"/>
    <col min="11" max="11" width="3.7109375" bestFit="1" customWidth="1"/>
    <col min="12" max="12" width="12.140625" customWidth="1"/>
    <col min="13" max="13" width="31.42578125" customWidth="1"/>
    <col min="15" max="15" width="19.42578125" bestFit="1" customWidth="1"/>
    <col min="16" max="16" width="12.7109375" customWidth="1"/>
    <col min="17" max="17" width="14.28515625" customWidth="1"/>
    <col min="18" max="18" width="18.7109375" bestFit="1" customWidth="1"/>
    <col min="19" max="19" width="14.85546875" bestFit="1" customWidth="1"/>
    <col min="20" max="20" width="14.5703125" customWidth="1"/>
    <col min="21" max="21" width="16.140625" bestFit="1" customWidth="1"/>
    <col min="22" max="22" width="24.85546875" bestFit="1" customWidth="1"/>
    <col min="23" max="24" width="20.42578125" customWidth="1"/>
    <col min="25" max="25" width="20.5703125" customWidth="1"/>
  </cols>
  <sheetData>
    <row r="1" spans="2:25" s="1" customFormat="1"/>
    <row r="2" spans="2:25" s="1" customFormat="1" ht="15.75" thickBot="1"/>
    <row r="3" spans="2:25">
      <c r="B3" s="9" t="s">
        <v>27</v>
      </c>
      <c r="C3" s="6" t="s">
        <v>28</v>
      </c>
      <c r="D3" s="6" t="s">
        <v>29</v>
      </c>
      <c r="E3" s="6" t="s">
        <v>70</v>
      </c>
      <c r="F3" s="9" t="s">
        <v>40</v>
      </c>
      <c r="G3" s="9" t="s">
        <v>39</v>
      </c>
      <c r="H3" s="6" t="s">
        <v>79</v>
      </c>
      <c r="I3" s="9" t="s">
        <v>81</v>
      </c>
      <c r="J3" s="9" t="s">
        <v>80</v>
      </c>
      <c r="K3" s="124" t="s">
        <v>8788</v>
      </c>
      <c r="L3" s="125"/>
      <c r="M3" s="126"/>
      <c r="N3" s="9" t="s">
        <v>21</v>
      </c>
      <c r="O3" s="88" t="s">
        <v>695</v>
      </c>
      <c r="P3" s="85" t="s">
        <v>707</v>
      </c>
      <c r="Q3" s="6" t="s">
        <v>727</v>
      </c>
      <c r="R3" s="6" t="s">
        <v>756</v>
      </c>
      <c r="S3" s="6" t="s">
        <v>769</v>
      </c>
      <c r="T3" s="6" t="s">
        <v>770</v>
      </c>
      <c r="U3" s="6" t="s">
        <v>797</v>
      </c>
      <c r="V3" s="6" t="s">
        <v>802</v>
      </c>
      <c r="W3" s="124" t="s">
        <v>873</v>
      </c>
      <c r="X3" s="126"/>
      <c r="Y3" s="75" t="s">
        <v>7581</v>
      </c>
    </row>
    <row r="4" spans="2:25">
      <c r="B4" s="10" t="s">
        <v>64</v>
      </c>
      <c r="C4" s="7" t="s">
        <v>50</v>
      </c>
      <c r="D4" s="7" t="s">
        <v>66</v>
      </c>
      <c r="E4" s="7" t="s">
        <v>71</v>
      </c>
      <c r="F4" s="10" t="s">
        <v>669</v>
      </c>
      <c r="G4" s="10" t="s">
        <v>73</v>
      </c>
      <c r="H4" s="7" t="s">
        <v>82</v>
      </c>
      <c r="I4" s="10" t="s">
        <v>86</v>
      </c>
      <c r="J4" s="70" t="s">
        <v>100</v>
      </c>
      <c r="K4" s="10" t="s">
        <v>123</v>
      </c>
      <c r="L4" s="12" t="s">
        <v>124</v>
      </c>
      <c r="M4" s="13" t="str">
        <f>K4&amp;"-"&amp;L4</f>
        <v>AD-Andorra</v>
      </c>
      <c r="N4" s="10" t="s">
        <v>8765</v>
      </c>
      <c r="O4" s="89" t="s">
        <v>689</v>
      </c>
      <c r="P4" s="86" t="s">
        <v>708</v>
      </c>
      <c r="Q4" s="7" t="s">
        <v>8787</v>
      </c>
      <c r="R4" s="16" t="s">
        <v>757</v>
      </c>
      <c r="S4" s="7" t="s">
        <v>776</v>
      </c>
      <c r="T4" s="16" t="s">
        <v>771</v>
      </c>
      <c r="U4" s="16" t="s">
        <v>798</v>
      </c>
      <c r="V4" s="70" t="s">
        <v>803</v>
      </c>
      <c r="W4" s="111">
        <v>0</v>
      </c>
      <c r="X4" s="112" t="s">
        <v>8802</v>
      </c>
      <c r="Y4" s="86" t="s">
        <v>8748</v>
      </c>
    </row>
    <row r="5" spans="2:25">
      <c r="B5" s="10" t="s">
        <v>60</v>
      </c>
      <c r="C5" s="7" t="s">
        <v>51</v>
      </c>
      <c r="D5" s="7" t="s">
        <v>67</v>
      </c>
      <c r="E5" s="8" t="s">
        <v>72</v>
      </c>
      <c r="F5" s="11" t="s">
        <v>670</v>
      </c>
      <c r="G5" s="10" t="s">
        <v>74</v>
      </c>
      <c r="H5" s="7" t="s">
        <v>83</v>
      </c>
      <c r="I5" s="10" t="s">
        <v>87</v>
      </c>
      <c r="J5" s="70" t="s">
        <v>101</v>
      </c>
      <c r="K5" s="10" t="s">
        <v>125</v>
      </c>
      <c r="L5" s="12" t="s">
        <v>126</v>
      </c>
      <c r="M5" s="13" t="str">
        <f t="shared" ref="M5:M68" si="0">K5&amp;"-"&amp;L5</f>
        <v>AE-United Arab Emirates</v>
      </c>
      <c r="N5" s="10" t="s">
        <v>8809</v>
      </c>
      <c r="O5" s="89" t="s">
        <v>690</v>
      </c>
      <c r="P5" s="86" t="s">
        <v>709</v>
      </c>
      <c r="Q5" s="7" t="s">
        <v>728</v>
      </c>
      <c r="R5" s="16" t="s">
        <v>758</v>
      </c>
      <c r="S5" s="7" t="s">
        <v>777</v>
      </c>
      <c r="T5" s="16" t="s">
        <v>772</v>
      </c>
      <c r="U5" s="16" t="s">
        <v>799</v>
      </c>
      <c r="V5" s="70" t="s">
        <v>804</v>
      </c>
      <c r="W5" s="110">
        <v>1</v>
      </c>
      <c r="X5" s="113" t="s">
        <v>8803</v>
      </c>
      <c r="Y5" s="86" t="s">
        <v>8749</v>
      </c>
    </row>
    <row r="6" spans="2:25">
      <c r="B6" s="11" t="s">
        <v>65</v>
      </c>
      <c r="C6" s="7" t="s">
        <v>41</v>
      </c>
      <c r="D6" s="7" t="s">
        <v>68</v>
      </c>
      <c r="E6" s="3"/>
      <c r="F6" s="3"/>
      <c r="G6" s="11" t="s">
        <v>75</v>
      </c>
      <c r="H6" s="7" t="s">
        <v>84</v>
      </c>
      <c r="I6" s="10" t="s">
        <v>88</v>
      </c>
      <c r="J6" s="70" t="s">
        <v>102</v>
      </c>
      <c r="K6" s="10" t="s">
        <v>127</v>
      </c>
      <c r="L6" s="12" t="s">
        <v>128</v>
      </c>
      <c r="M6" s="13" t="str">
        <f t="shared" si="0"/>
        <v>AF-Afghanistan</v>
      </c>
      <c r="N6" s="10" t="s">
        <v>684</v>
      </c>
      <c r="O6" s="89" t="s">
        <v>691</v>
      </c>
      <c r="P6" s="87" t="s">
        <v>710</v>
      </c>
      <c r="Q6" s="7" t="s">
        <v>729</v>
      </c>
      <c r="R6" s="16" t="s">
        <v>759</v>
      </c>
      <c r="S6" s="7" t="s">
        <v>778</v>
      </c>
      <c r="T6" s="16" t="s">
        <v>773</v>
      </c>
      <c r="U6" s="17" t="s">
        <v>701</v>
      </c>
      <c r="V6" s="71" t="s">
        <v>805</v>
      </c>
      <c r="W6" s="115">
        <v>2</v>
      </c>
      <c r="X6" s="116" t="s">
        <v>798</v>
      </c>
      <c r="Y6" s="86" t="s">
        <v>8750</v>
      </c>
    </row>
    <row r="7" spans="2:25">
      <c r="B7" s="3"/>
      <c r="C7" s="7" t="s">
        <v>52</v>
      </c>
      <c r="D7" s="8" t="s">
        <v>69</v>
      </c>
      <c r="E7" s="3"/>
      <c r="F7" s="3"/>
      <c r="G7" s="3"/>
      <c r="H7" s="8" t="s">
        <v>85</v>
      </c>
      <c r="I7" s="11" t="s">
        <v>89</v>
      </c>
      <c r="J7" s="70" t="s">
        <v>103</v>
      </c>
      <c r="K7" s="10" t="s">
        <v>129</v>
      </c>
      <c r="L7" s="12" t="s">
        <v>130</v>
      </c>
      <c r="M7" s="13" t="str">
        <f t="shared" si="0"/>
        <v>AG-Antigua and Barbuda</v>
      </c>
      <c r="N7" s="10" t="s">
        <v>685</v>
      </c>
      <c r="O7" s="89" t="s">
        <v>692</v>
      </c>
      <c r="Q7" s="7" t="s">
        <v>730</v>
      </c>
      <c r="R7" s="17" t="s">
        <v>760</v>
      </c>
      <c r="S7" s="7" t="s">
        <v>779</v>
      </c>
      <c r="T7" s="16" t="s">
        <v>774</v>
      </c>
      <c r="W7" s="115">
        <v>3</v>
      </c>
      <c r="X7" s="116" t="s">
        <v>799</v>
      </c>
      <c r="Y7" s="86" t="s">
        <v>8751</v>
      </c>
    </row>
    <row r="8" spans="2:25">
      <c r="B8" s="3"/>
      <c r="C8" s="7" t="s">
        <v>42</v>
      </c>
      <c r="D8" s="3"/>
      <c r="E8" s="3"/>
      <c r="F8" s="3"/>
      <c r="G8" s="3"/>
      <c r="H8" s="3"/>
      <c r="J8" s="70" t="s">
        <v>104</v>
      </c>
      <c r="K8" s="10" t="s">
        <v>131</v>
      </c>
      <c r="L8" s="12" t="s">
        <v>132</v>
      </c>
      <c r="M8" s="13" t="str">
        <f t="shared" si="0"/>
        <v>AI-Anguilla</v>
      </c>
      <c r="N8" s="11" t="s">
        <v>686</v>
      </c>
      <c r="O8" s="89" t="s">
        <v>693</v>
      </c>
      <c r="Q8" s="7" t="s">
        <v>731</v>
      </c>
      <c r="S8" s="7" t="s">
        <v>780</v>
      </c>
      <c r="T8" s="17" t="s">
        <v>775</v>
      </c>
      <c r="W8" s="117">
        <v>4</v>
      </c>
      <c r="X8" s="114" t="s">
        <v>701</v>
      </c>
      <c r="Y8" s="86" t="s">
        <v>8752</v>
      </c>
    </row>
    <row r="9" spans="2:25" ht="15.75" thickBot="1">
      <c r="B9" s="3"/>
      <c r="C9" s="7" t="s">
        <v>53</v>
      </c>
      <c r="D9" s="3"/>
      <c r="E9" s="3"/>
      <c r="F9" s="3"/>
      <c r="G9" s="3"/>
      <c r="H9" s="3"/>
      <c r="J9" s="70" t="s">
        <v>105</v>
      </c>
      <c r="K9" s="10" t="s">
        <v>133</v>
      </c>
      <c r="L9" s="12" t="s">
        <v>134</v>
      </c>
      <c r="M9" s="13" t="str">
        <f t="shared" si="0"/>
        <v>AL-Albania</v>
      </c>
      <c r="O9" s="90" t="s">
        <v>694</v>
      </c>
      <c r="Q9" s="7" t="s">
        <v>732</v>
      </c>
      <c r="S9" s="7" t="s">
        <v>781</v>
      </c>
      <c r="Y9" s="17" t="s">
        <v>8753</v>
      </c>
    </row>
    <row r="10" spans="2:25">
      <c r="B10" s="3"/>
      <c r="C10" s="7" t="s">
        <v>54</v>
      </c>
      <c r="D10" s="3"/>
      <c r="E10" s="3"/>
      <c r="F10" s="3"/>
      <c r="G10" s="3"/>
      <c r="H10" s="3"/>
      <c r="J10" s="70" t="s">
        <v>106</v>
      </c>
      <c r="K10" s="10" t="s">
        <v>135</v>
      </c>
      <c r="L10" s="12" t="s">
        <v>136</v>
      </c>
      <c r="M10" s="13" t="str">
        <f t="shared" si="0"/>
        <v>AM-Armenia</v>
      </c>
      <c r="Q10" s="7" t="s">
        <v>733</v>
      </c>
      <c r="S10" s="7" t="s">
        <v>782</v>
      </c>
    </row>
    <row r="11" spans="2:25">
      <c r="B11" s="3"/>
      <c r="C11" s="7" t="s">
        <v>55</v>
      </c>
      <c r="D11" s="3"/>
      <c r="E11" s="3"/>
      <c r="F11" s="3"/>
      <c r="G11" s="3"/>
      <c r="H11" s="3"/>
      <c r="J11" s="70" t="s">
        <v>107</v>
      </c>
      <c r="K11" s="10" t="s">
        <v>137</v>
      </c>
      <c r="L11" s="12" t="s">
        <v>138</v>
      </c>
      <c r="M11" s="13" t="str">
        <f t="shared" si="0"/>
        <v>AO-Angola</v>
      </c>
      <c r="Q11" s="8" t="s">
        <v>734</v>
      </c>
      <c r="S11" s="8" t="s">
        <v>783</v>
      </c>
    </row>
    <row r="12" spans="2:25">
      <c r="B12" s="3"/>
      <c r="C12" s="7" t="s">
        <v>56</v>
      </c>
      <c r="D12" s="3"/>
      <c r="E12" s="3"/>
      <c r="F12" s="3"/>
      <c r="G12" s="3"/>
      <c r="H12" s="3"/>
      <c r="J12" s="70" t="s">
        <v>108</v>
      </c>
      <c r="K12" s="10" t="s">
        <v>139</v>
      </c>
      <c r="L12" s="12" t="s">
        <v>140</v>
      </c>
      <c r="M12" s="13" t="str">
        <f t="shared" si="0"/>
        <v>AQ-Antarctica</v>
      </c>
    </row>
    <row r="13" spans="2:25">
      <c r="B13" s="3"/>
      <c r="C13" s="7" t="s">
        <v>43</v>
      </c>
      <c r="D13" s="3"/>
      <c r="E13" s="3"/>
      <c r="F13" s="3"/>
      <c r="G13" s="3"/>
      <c r="H13" s="3"/>
      <c r="J13" s="70" t="s">
        <v>109</v>
      </c>
      <c r="K13" s="10" t="s">
        <v>141</v>
      </c>
      <c r="L13" s="12" t="s">
        <v>142</v>
      </c>
      <c r="M13" s="13" t="str">
        <f t="shared" si="0"/>
        <v>AR-Argentina</v>
      </c>
    </row>
    <row r="14" spans="2:25">
      <c r="B14" s="3"/>
      <c r="C14" s="7" t="s">
        <v>44</v>
      </c>
      <c r="D14" s="3"/>
      <c r="E14" s="3"/>
      <c r="F14" s="3"/>
      <c r="G14" s="3"/>
      <c r="H14" s="3"/>
      <c r="J14" s="70" t="s">
        <v>110</v>
      </c>
      <c r="K14" s="10" t="s">
        <v>143</v>
      </c>
      <c r="L14" s="12" t="s">
        <v>144</v>
      </c>
      <c r="M14" s="13" t="str">
        <f t="shared" si="0"/>
        <v>AS-American Samoa</v>
      </c>
    </row>
    <row r="15" spans="2:25">
      <c r="B15" s="3"/>
      <c r="C15" s="7" t="s">
        <v>57</v>
      </c>
      <c r="D15" s="3"/>
      <c r="E15" s="3"/>
      <c r="F15" s="3"/>
      <c r="G15" s="3"/>
      <c r="H15" s="3"/>
      <c r="J15" s="70" t="s">
        <v>111</v>
      </c>
      <c r="K15" s="10" t="s">
        <v>145</v>
      </c>
      <c r="L15" s="12" t="s">
        <v>146</v>
      </c>
      <c r="M15" s="13" t="str">
        <f t="shared" si="0"/>
        <v>AT-Austria</v>
      </c>
    </row>
    <row r="16" spans="2:25">
      <c r="B16" s="3"/>
      <c r="C16" s="7" t="s">
        <v>58</v>
      </c>
      <c r="D16" s="3"/>
      <c r="E16" s="3"/>
      <c r="F16" s="3"/>
      <c r="G16" s="3"/>
      <c r="H16" s="3"/>
      <c r="J16" s="70" t="s">
        <v>112</v>
      </c>
      <c r="K16" s="10" t="s">
        <v>147</v>
      </c>
      <c r="L16" s="12" t="s">
        <v>148</v>
      </c>
      <c r="M16" s="13" t="str">
        <f t="shared" si="0"/>
        <v>AU-Australia</v>
      </c>
    </row>
    <row r="17" spans="2:13">
      <c r="B17" s="3"/>
      <c r="C17" s="7" t="s">
        <v>45</v>
      </c>
      <c r="D17" s="3"/>
      <c r="E17" s="3"/>
      <c r="F17" s="3"/>
      <c r="G17" s="3"/>
      <c r="H17" s="3"/>
      <c r="J17" s="70" t="s">
        <v>113</v>
      </c>
      <c r="K17" s="10" t="s">
        <v>149</v>
      </c>
      <c r="L17" s="12" t="s">
        <v>150</v>
      </c>
      <c r="M17" s="13" t="str">
        <f t="shared" si="0"/>
        <v>AW-Aruba</v>
      </c>
    </row>
    <row r="18" spans="2:13">
      <c r="B18" s="3"/>
      <c r="C18" s="7" t="s">
        <v>59</v>
      </c>
      <c r="D18" s="3"/>
      <c r="E18" s="3"/>
      <c r="F18" s="3"/>
      <c r="G18" s="3"/>
      <c r="H18" s="3"/>
      <c r="J18" s="70" t="s">
        <v>114</v>
      </c>
      <c r="K18" s="10" t="s">
        <v>151</v>
      </c>
      <c r="L18" s="12" t="s">
        <v>711</v>
      </c>
      <c r="M18" s="13" t="str">
        <f t="shared" si="0"/>
        <v>AX-Aland Islands</v>
      </c>
    </row>
    <row r="19" spans="2:13">
      <c r="B19" s="3"/>
      <c r="C19" s="7" t="s">
        <v>46</v>
      </c>
      <c r="D19" s="3"/>
      <c r="E19" s="3"/>
      <c r="F19" s="3"/>
      <c r="G19" s="3"/>
      <c r="H19" s="3"/>
      <c r="J19" s="70" t="s">
        <v>115</v>
      </c>
      <c r="K19" s="10" t="s">
        <v>152</v>
      </c>
      <c r="L19" s="12" t="s">
        <v>153</v>
      </c>
      <c r="M19" s="13" t="str">
        <f t="shared" si="0"/>
        <v>AZ-Azerbaijan</v>
      </c>
    </row>
    <row r="20" spans="2:13">
      <c r="B20" s="3"/>
      <c r="C20" s="7" t="s">
        <v>60</v>
      </c>
      <c r="D20" s="3"/>
      <c r="E20" s="3"/>
      <c r="F20" s="3"/>
      <c r="G20" s="3"/>
      <c r="H20" s="3"/>
      <c r="J20" s="70" t="s">
        <v>116</v>
      </c>
      <c r="K20" s="10" t="s">
        <v>154</v>
      </c>
      <c r="L20" s="12" t="s">
        <v>155</v>
      </c>
      <c r="M20" s="13" t="str">
        <f t="shared" si="0"/>
        <v>BA-Bosnia and Herzegovina</v>
      </c>
    </row>
    <row r="21" spans="2:13">
      <c r="B21" s="3"/>
      <c r="C21" s="7" t="s">
        <v>47</v>
      </c>
      <c r="D21" s="3"/>
      <c r="E21" s="3"/>
      <c r="F21" s="3"/>
      <c r="G21" s="3"/>
      <c r="H21" s="3"/>
      <c r="J21" s="70" t="s">
        <v>117</v>
      </c>
      <c r="K21" s="10" t="s">
        <v>156</v>
      </c>
      <c r="L21" s="12" t="s">
        <v>157</v>
      </c>
      <c r="M21" s="13" t="str">
        <f t="shared" si="0"/>
        <v>BB-Barbados</v>
      </c>
    </row>
    <row r="22" spans="2:13">
      <c r="B22" s="3"/>
      <c r="C22" s="7" t="s">
        <v>48</v>
      </c>
      <c r="D22" s="3"/>
      <c r="E22" s="3"/>
      <c r="F22" s="3"/>
      <c r="G22" s="3"/>
      <c r="H22" s="3"/>
      <c r="J22" s="70" t="s">
        <v>118</v>
      </c>
      <c r="K22" s="10" t="s">
        <v>158</v>
      </c>
      <c r="L22" s="12" t="s">
        <v>159</v>
      </c>
      <c r="M22" s="13" t="str">
        <f t="shared" si="0"/>
        <v>BD-Bangladesh</v>
      </c>
    </row>
    <row r="23" spans="2:13">
      <c r="B23" s="3"/>
      <c r="C23" s="7" t="s">
        <v>61</v>
      </c>
      <c r="D23" s="3"/>
      <c r="E23" s="3"/>
      <c r="F23" s="3"/>
      <c r="G23" s="3"/>
      <c r="H23" s="3"/>
      <c r="J23" s="70" t="s">
        <v>119</v>
      </c>
      <c r="K23" s="10" t="s">
        <v>160</v>
      </c>
      <c r="L23" s="12" t="s">
        <v>161</v>
      </c>
      <c r="M23" s="13" t="str">
        <f t="shared" si="0"/>
        <v>BE-Belgium</v>
      </c>
    </row>
    <row r="24" spans="2:13">
      <c r="B24" s="3"/>
      <c r="C24" s="7" t="s">
        <v>62</v>
      </c>
      <c r="D24" s="3"/>
      <c r="E24" s="3"/>
      <c r="F24" s="3"/>
      <c r="G24" s="3"/>
      <c r="H24" s="3"/>
      <c r="J24" s="70" t="s">
        <v>120</v>
      </c>
      <c r="K24" s="10" t="s">
        <v>162</v>
      </c>
      <c r="L24" s="12" t="s">
        <v>163</v>
      </c>
      <c r="M24" s="13" t="str">
        <f t="shared" si="0"/>
        <v>BF-Burkina Faso</v>
      </c>
    </row>
    <row r="25" spans="2:13">
      <c r="B25" s="3"/>
      <c r="C25" s="7" t="s">
        <v>49</v>
      </c>
      <c r="D25" s="3"/>
      <c r="E25" s="3"/>
      <c r="F25" s="3"/>
      <c r="G25" s="3"/>
      <c r="H25" s="3"/>
      <c r="J25" s="70" t="s">
        <v>121</v>
      </c>
      <c r="K25" s="10" t="s">
        <v>164</v>
      </c>
      <c r="L25" s="12" t="s">
        <v>165</v>
      </c>
      <c r="M25" s="13" t="str">
        <f t="shared" si="0"/>
        <v>BG-Bulgaria</v>
      </c>
    </row>
    <row r="26" spans="2:13">
      <c r="B26" s="3"/>
      <c r="C26" s="8" t="s">
        <v>63</v>
      </c>
      <c r="D26" s="3"/>
      <c r="E26" s="3"/>
      <c r="F26" s="3"/>
      <c r="G26" s="3"/>
      <c r="H26" s="3"/>
      <c r="J26" s="71" t="s">
        <v>122</v>
      </c>
      <c r="K26" s="10" t="s">
        <v>166</v>
      </c>
      <c r="L26" s="12" t="s">
        <v>167</v>
      </c>
      <c r="M26" s="13" t="str">
        <f t="shared" si="0"/>
        <v>BH-Bahrain</v>
      </c>
    </row>
    <row r="27" spans="2:13">
      <c r="K27" s="10" t="s">
        <v>168</v>
      </c>
      <c r="L27" s="12" t="s">
        <v>169</v>
      </c>
      <c r="M27" s="13" t="str">
        <f t="shared" si="0"/>
        <v>BI-Burundi</v>
      </c>
    </row>
    <row r="28" spans="2:13">
      <c r="K28" s="10" t="s">
        <v>170</v>
      </c>
      <c r="L28" s="12" t="s">
        <v>171</v>
      </c>
      <c r="M28" s="13" t="str">
        <f t="shared" si="0"/>
        <v>BJ-Benin</v>
      </c>
    </row>
    <row r="29" spans="2:13">
      <c r="K29" s="10" t="s">
        <v>172</v>
      </c>
      <c r="L29" s="12" t="s">
        <v>712</v>
      </c>
      <c r="M29" s="13" t="str">
        <f t="shared" si="0"/>
        <v>BL-Saint Barthelemy</v>
      </c>
    </row>
    <row r="30" spans="2:13">
      <c r="K30" s="10" t="s">
        <v>173</v>
      </c>
      <c r="L30" s="12" t="s">
        <v>174</v>
      </c>
      <c r="M30" s="13" t="str">
        <f t="shared" si="0"/>
        <v>BM-Bermuda</v>
      </c>
    </row>
    <row r="31" spans="2:13">
      <c r="K31" s="10" t="s">
        <v>175</v>
      </c>
      <c r="L31" s="12" t="s">
        <v>176</v>
      </c>
      <c r="M31" s="13" t="str">
        <f t="shared" si="0"/>
        <v>BN-Brunei Darussalam</v>
      </c>
    </row>
    <row r="32" spans="2:13">
      <c r="K32" s="10" t="s">
        <v>177</v>
      </c>
      <c r="L32" s="12" t="s">
        <v>178</v>
      </c>
      <c r="M32" s="13" t="str">
        <f t="shared" si="0"/>
        <v>BO-Bolivia, Plurinational State of</v>
      </c>
    </row>
    <row r="33" spans="11:13">
      <c r="K33" s="10" t="s">
        <v>179</v>
      </c>
      <c r="L33" s="12" t="s">
        <v>180</v>
      </c>
      <c r="M33" s="13" t="str">
        <f t="shared" si="0"/>
        <v>BQ-Bonaire, Sint Eustatius and Saba</v>
      </c>
    </row>
    <row r="34" spans="11:13">
      <c r="K34" s="10" t="s">
        <v>181</v>
      </c>
      <c r="L34" s="12" t="s">
        <v>182</v>
      </c>
      <c r="M34" s="13" t="str">
        <f t="shared" si="0"/>
        <v>BR-Brazil</v>
      </c>
    </row>
    <row r="35" spans="11:13">
      <c r="K35" s="10" t="s">
        <v>183</v>
      </c>
      <c r="L35" s="12" t="s">
        <v>184</v>
      </c>
      <c r="M35" s="13" t="str">
        <f t="shared" si="0"/>
        <v>BS-Bahamas</v>
      </c>
    </row>
    <row r="36" spans="11:13">
      <c r="K36" s="10" t="s">
        <v>185</v>
      </c>
      <c r="L36" s="12" t="s">
        <v>186</v>
      </c>
      <c r="M36" s="13" t="str">
        <f t="shared" si="0"/>
        <v>BT-Bhutan</v>
      </c>
    </row>
    <row r="37" spans="11:13">
      <c r="K37" s="10" t="s">
        <v>187</v>
      </c>
      <c r="L37" s="12" t="s">
        <v>188</v>
      </c>
      <c r="M37" s="13" t="str">
        <f t="shared" si="0"/>
        <v>BV-Bouvet Island</v>
      </c>
    </row>
    <row r="38" spans="11:13">
      <c r="K38" s="10" t="s">
        <v>189</v>
      </c>
      <c r="L38" s="12" t="s">
        <v>190</v>
      </c>
      <c r="M38" s="13" t="str">
        <f t="shared" si="0"/>
        <v>BW-Botswana</v>
      </c>
    </row>
    <row r="39" spans="11:13">
      <c r="K39" s="10" t="s">
        <v>191</v>
      </c>
      <c r="L39" s="12" t="s">
        <v>192</v>
      </c>
      <c r="M39" s="13" t="str">
        <f t="shared" si="0"/>
        <v>BY-Belarus</v>
      </c>
    </row>
    <row r="40" spans="11:13">
      <c r="K40" s="10" t="s">
        <v>193</v>
      </c>
      <c r="L40" s="12" t="s">
        <v>194</v>
      </c>
      <c r="M40" s="13" t="str">
        <f t="shared" si="0"/>
        <v>BZ-Belize</v>
      </c>
    </row>
    <row r="41" spans="11:13">
      <c r="K41" s="10" t="s">
        <v>195</v>
      </c>
      <c r="L41" s="12" t="s">
        <v>196</v>
      </c>
      <c r="M41" s="13" t="str">
        <f t="shared" si="0"/>
        <v>CA-Canada</v>
      </c>
    </row>
    <row r="42" spans="11:13">
      <c r="K42" s="10" t="s">
        <v>197</v>
      </c>
      <c r="L42" s="12" t="s">
        <v>198</v>
      </c>
      <c r="M42" s="13" t="str">
        <f t="shared" si="0"/>
        <v>CC-Cocos (Keeling) Islands</v>
      </c>
    </row>
    <row r="43" spans="11:13">
      <c r="K43" s="10" t="s">
        <v>199</v>
      </c>
      <c r="L43" s="12" t="s">
        <v>200</v>
      </c>
      <c r="M43" s="13" t="str">
        <f t="shared" si="0"/>
        <v>CD-Congo, the Democratic Republic of the</v>
      </c>
    </row>
    <row r="44" spans="11:13">
      <c r="K44" s="10" t="s">
        <v>201</v>
      </c>
      <c r="L44" s="12" t="s">
        <v>202</v>
      </c>
      <c r="M44" s="13" t="str">
        <f t="shared" si="0"/>
        <v>CF-Central African Republic</v>
      </c>
    </row>
    <row r="45" spans="11:13">
      <c r="K45" s="10" t="s">
        <v>203</v>
      </c>
      <c r="L45" s="12" t="s">
        <v>204</v>
      </c>
      <c r="M45" s="13" t="str">
        <f t="shared" si="0"/>
        <v>CG-Congo</v>
      </c>
    </row>
    <row r="46" spans="11:13">
      <c r="K46" s="10" t="s">
        <v>205</v>
      </c>
      <c r="L46" s="12" t="s">
        <v>206</v>
      </c>
      <c r="M46" s="13" t="str">
        <f t="shared" si="0"/>
        <v>CH-Switzerland</v>
      </c>
    </row>
    <row r="47" spans="11:13">
      <c r="K47" s="10" t="s">
        <v>207</v>
      </c>
      <c r="L47" s="12" t="s">
        <v>713</v>
      </c>
      <c r="M47" s="13" t="str">
        <f t="shared" si="0"/>
        <v>CI-Cote d'Ivoire</v>
      </c>
    </row>
    <row r="48" spans="11:13">
      <c r="K48" s="10" t="s">
        <v>208</v>
      </c>
      <c r="L48" s="12" t="s">
        <v>209</v>
      </c>
      <c r="M48" s="13" t="str">
        <f t="shared" si="0"/>
        <v>CK-Cook Islands</v>
      </c>
    </row>
    <row r="49" spans="11:13">
      <c r="K49" s="10" t="s">
        <v>210</v>
      </c>
      <c r="L49" s="12" t="s">
        <v>211</v>
      </c>
      <c r="M49" s="13" t="str">
        <f t="shared" si="0"/>
        <v>CL-Chile</v>
      </c>
    </row>
    <row r="50" spans="11:13">
      <c r="K50" s="10" t="s">
        <v>212</v>
      </c>
      <c r="L50" s="12" t="s">
        <v>213</v>
      </c>
      <c r="M50" s="13" t="str">
        <f t="shared" si="0"/>
        <v>CM-Cameroon</v>
      </c>
    </row>
    <row r="51" spans="11:13">
      <c r="K51" s="10" t="s">
        <v>214</v>
      </c>
      <c r="L51" s="12" t="s">
        <v>215</v>
      </c>
      <c r="M51" s="13" t="str">
        <f t="shared" si="0"/>
        <v>CN-China</v>
      </c>
    </row>
    <row r="52" spans="11:13">
      <c r="K52" s="10" t="s">
        <v>216</v>
      </c>
      <c r="L52" s="12" t="s">
        <v>217</v>
      </c>
      <c r="M52" s="13" t="str">
        <f t="shared" si="0"/>
        <v>CO-Colombia</v>
      </c>
    </row>
    <row r="53" spans="11:13">
      <c r="K53" s="10" t="s">
        <v>218</v>
      </c>
      <c r="L53" s="12" t="s">
        <v>219</v>
      </c>
      <c r="M53" s="13" t="str">
        <f t="shared" si="0"/>
        <v>CR-Costa Rica</v>
      </c>
    </row>
    <row r="54" spans="11:13">
      <c r="K54" s="10" t="s">
        <v>220</v>
      </c>
      <c r="L54" s="12" t="s">
        <v>221</v>
      </c>
      <c r="M54" s="13" t="str">
        <f t="shared" si="0"/>
        <v>CU-Cuba</v>
      </c>
    </row>
    <row r="55" spans="11:13">
      <c r="K55" s="10" t="s">
        <v>222</v>
      </c>
      <c r="L55" s="12" t="s">
        <v>223</v>
      </c>
      <c r="M55" s="13" t="str">
        <f t="shared" si="0"/>
        <v>CV-Cabo Verde</v>
      </c>
    </row>
    <row r="56" spans="11:13">
      <c r="K56" s="10" t="s">
        <v>224</v>
      </c>
      <c r="L56" s="12" t="s">
        <v>225</v>
      </c>
      <c r="M56" s="13" t="str">
        <f t="shared" si="0"/>
        <v>CW-Curaçao</v>
      </c>
    </row>
    <row r="57" spans="11:13">
      <c r="K57" s="10" t="s">
        <v>226</v>
      </c>
      <c r="L57" s="12" t="s">
        <v>227</v>
      </c>
      <c r="M57" s="13" t="str">
        <f t="shared" si="0"/>
        <v>CX-Christmas Island</v>
      </c>
    </row>
    <row r="58" spans="11:13">
      <c r="K58" s="10" t="s">
        <v>228</v>
      </c>
      <c r="L58" s="12" t="s">
        <v>229</v>
      </c>
      <c r="M58" s="13" t="str">
        <f t="shared" si="0"/>
        <v>CY-Cyprus</v>
      </c>
    </row>
    <row r="59" spans="11:13">
      <c r="K59" s="10" t="s">
        <v>230</v>
      </c>
      <c r="L59" s="12" t="s">
        <v>231</v>
      </c>
      <c r="M59" s="13" t="str">
        <f t="shared" si="0"/>
        <v>CZ-Czech Republic</v>
      </c>
    </row>
    <row r="60" spans="11:13">
      <c r="K60" s="10" t="s">
        <v>232</v>
      </c>
      <c r="L60" s="12" t="s">
        <v>233</v>
      </c>
      <c r="M60" s="13" t="str">
        <f t="shared" si="0"/>
        <v>DE-Germany</v>
      </c>
    </row>
    <row r="61" spans="11:13">
      <c r="K61" s="10" t="s">
        <v>234</v>
      </c>
      <c r="L61" s="12" t="s">
        <v>235</v>
      </c>
      <c r="M61" s="13" t="str">
        <f t="shared" si="0"/>
        <v>DJ-Djibouti</v>
      </c>
    </row>
    <row r="62" spans="11:13">
      <c r="K62" s="10" t="s">
        <v>236</v>
      </c>
      <c r="L62" s="12" t="s">
        <v>237</v>
      </c>
      <c r="M62" s="13" t="str">
        <f t="shared" si="0"/>
        <v>DK-Denmark</v>
      </c>
    </row>
    <row r="63" spans="11:13">
      <c r="K63" s="10" t="s">
        <v>238</v>
      </c>
      <c r="L63" s="12" t="s">
        <v>239</v>
      </c>
      <c r="M63" s="13" t="str">
        <f t="shared" si="0"/>
        <v>DM-Dominica</v>
      </c>
    </row>
    <row r="64" spans="11:13">
      <c r="K64" s="10" t="s">
        <v>240</v>
      </c>
      <c r="L64" s="12" t="s">
        <v>241</v>
      </c>
      <c r="M64" s="13" t="str">
        <f t="shared" si="0"/>
        <v>DO-Dominican Republic</v>
      </c>
    </row>
    <row r="65" spans="11:13">
      <c r="K65" s="10" t="s">
        <v>242</v>
      </c>
      <c r="L65" s="12" t="s">
        <v>243</v>
      </c>
      <c r="M65" s="13" t="str">
        <f t="shared" si="0"/>
        <v>DZ-Algeria</v>
      </c>
    </row>
    <row r="66" spans="11:13">
      <c r="K66" s="10" t="s">
        <v>244</v>
      </c>
      <c r="L66" s="12" t="s">
        <v>245</v>
      </c>
      <c r="M66" s="13" t="str">
        <f t="shared" si="0"/>
        <v>EC-Ecuador</v>
      </c>
    </row>
    <row r="67" spans="11:13">
      <c r="K67" s="10" t="s">
        <v>246</v>
      </c>
      <c r="L67" s="12" t="s">
        <v>247</v>
      </c>
      <c r="M67" s="13" t="str">
        <f t="shared" si="0"/>
        <v>EE-Estonia</v>
      </c>
    </row>
    <row r="68" spans="11:13">
      <c r="K68" s="10" t="s">
        <v>248</v>
      </c>
      <c r="L68" s="12" t="s">
        <v>249</v>
      </c>
      <c r="M68" s="13" t="str">
        <f t="shared" si="0"/>
        <v>EG-Egypt</v>
      </c>
    </row>
    <row r="69" spans="11:13">
      <c r="K69" s="10" t="s">
        <v>250</v>
      </c>
      <c r="L69" s="12" t="s">
        <v>251</v>
      </c>
      <c r="M69" s="13" t="str">
        <f t="shared" ref="M69:M132" si="1">K69&amp;"-"&amp;L69</f>
        <v>EH-Western Sahara</v>
      </c>
    </row>
    <row r="70" spans="11:13">
      <c r="K70" s="10" t="s">
        <v>252</v>
      </c>
      <c r="L70" s="12" t="s">
        <v>253</v>
      </c>
      <c r="M70" s="13" t="str">
        <f t="shared" si="1"/>
        <v>ER-Eritrea</v>
      </c>
    </row>
    <row r="71" spans="11:13">
      <c r="K71" s="10" t="s">
        <v>254</v>
      </c>
      <c r="L71" s="12" t="s">
        <v>255</v>
      </c>
      <c r="M71" s="13" t="str">
        <f t="shared" si="1"/>
        <v>ES-Spain</v>
      </c>
    </row>
    <row r="72" spans="11:13">
      <c r="K72" s="10" t="s">
        <v>256</v>
      </c>
      <c r="L72" s="12" t="s">
        <v>257</v>
      </c>
      <c r="M72" s="13" t="str">
        <f t="shared" si="1"/>
        <v>ET-Ethiopia</v>
      </c>
    </row>
    <row r="73" spans="11:13">
      <c r="K73" s="10" t="s">
        <v>258</v>
      </c>
      <c r="L73" s="12" t="s">
        <v>259</v>
      </c>
      <c r="M73" s="13" t="str">
        <f t="shared" si="1"/>
        <v>FI-Finland</v>
      </c>
    </row>
    <row r="74" spans="11:13">
      <c r="K74" s="10" t="s">
        <v>260</v>
      </c>
      <c r="L74" s="12" t="s">
        <v>261</v>
      </c>
      <c r="M74" s="13" t="str">
        <f t="shared" si="1"/>
        <v>FJ-Fiji</v>
      </c>
    </row>
    <row r="75" spans="11:13">
      <c r="K75" s="10" t="s">
        <v>262</v>
      </c>
      <c r="L75" s="12" t="s">
        <v>263</v>
      </c>
      <c r="M75" s="13" t="str">
        <f t="shared" si="1"/>
        <v>FK-Falkland Islands (Malvinas)</v>
      </c>
    </row>
    <row r="76" spans="11:13">
      <c r="K76" s="10" t="s">
        <v>264</v>
      </c>
      <c r="L76" s="12" t="s">
        <v>265</v>
      </c>
      <c r="M76" s="13" t="str">
        <f t="shared" si="1"/>
        <v>FM-Micronesia, Federated States of</v>
      </c>
    </row>
    <row r="77" spans="11:13">
      <c r="K77" s="10" t="s">
        <v>266</v>
      </c>
      <c r="L77" s="12" t="s">
        <v>267</v>
      </c>
      <c r="M77" s="13" t="str">
        <f t="shared" si="1"/>
        <v>FO-Faroe Islands</v>
      </c>
    </row>
    <row r="78" spans="11:13">
      <c r="K78" s="10" t="s">
        <v>268</v>
      </c>
      <c r="L78" s="12" t="s">
        <v>269</v>
      </c>
      <c r="M78" s="13" t="str">
        <f t="shared" si="1"/>
        <v>FR-France</v>
      </c>
    </row>
    <row r="79" spans="11:13">
      <c r="K79" s="10" t="s">
        <v>270</v>
      </c>
      <c r="L79" s="12" t="s">
        <v>271</v>
      </c>
      <c r="M79" s="13" t="str">
        <f t="shared" si="1"/>
        <v>GA-Gabon</v>
      </c>
    </row>
    <row r="80" spans="11:13">
      <c r="K80" s="10" t="s">
        <v>272</v>
      </c>
      <c r="L80" s="12" t="s">
        <v>273</v>
      </c>
      <c r="M80" s="13" t="str">
        <f t="shared" si="1"/>
        <v>GB-United Kingdom</v>
      </c>
    </row>
    <row r="81" spans="11:13">
      <c r="K81" s="10" t="s">
        <v>274</v>
      </c>
      <c r="L81" s="12" t="s">
        <v>275</v>
      </c>
      <c r="M81" s="13" t="str">
        <f t="shared" si="1"/>
        <v>GD-Grenada</v>
      </c>
    </row>
    <row r="82" spans="11:13">
      <c r="K82" s="10" t="s">
        <v>276</v>
      </c>
      <c r="L82" s="12" t="s">
        <v>277</v>
      </c>
      <c r="M82" s="13" t="str">
        <f t="shared" si="1"/>
        <v>GE-Georgia</v>
      </c>
    </row>
    <row r="83" spans="11:13">
      <c r="K83" s="10" t="s">
        <v>278</v>
      </c>
      <c r="L83" s="12" t="s">
        <v>279</v>
      </c>
      <c r="M83" s="13" t="str">
        <f t="shared" si="1"/>
        <v>GF-French Guiana</v>
      </c>
    </row>
    <row r="84" spans="11:13">
      <c r="K84" s="10" t="s">
        <v>280</v>
      </c>
      <c r="L84" s="12" t="s">
        <v>281</v>
      </c>
      <c r="M84" s="13" t="str">
        <f t="shared" si="1"/>
        <v>GG-Guernsey</v>
      </c>
    </row>
    <row r="85" spans="11:13">
      <c r="K85" s="10" t="s">
        <v>282</v>
      </c>
      <c r="L85" s="12" t="s">
        <v>283</v>
      </c>
      <c r="M85" s="13" t="str">
        <f t="shared" si="1"/>
        <v>GH-Ghana</v>
      </c>
    </row>
    <row r="86" spans="11:13">
      <c r="K86" s="10" t="s">
        <v>284</v>
      </c>
      <c r="L86" s="12" t="s">
        <v>285</v>
      </c>
      <c r="M86" s="13" t="str">
        <f t="shared" si="1"/>
        <v>GI-Gibraltar</v>
      </c>
    </row>
    <row r="87" spans="11:13">
      <c r="K87" s="10" t="s">
        <v>286</v>
      </c>
      <c r="L87" s="12" t="s">
        <v>287</v>
      </c>
      <c r="M87" s="13" t="str">
        <f t="shared" si="1"/>
        <v>GL-Greenland</v>
      </c>
    </row>
    <row r="88" spans="11:13">
      <c r="K88" s="10" t="s">
        <v>288</v>
      </c>
      <c r="L88" s="12" t="s">
        <v>289</v>
      </c>
      <c r="M88" s="13" t="str">
        <f t="shared" si="1"/>
        <v>GM-Gambia</v>
      </c>
    </row>
    <row r="89" spans="11:13">
      <c r="K89" s="10" t="s">
        <v>290</v>
      </c>
      <c r="L89" s="12" t="s">
        <v>291</v>
      </c>
      <c r="M89" s="13" t="str">
        <f t="shared" si="1"/>
        <v>GN-Guinea</v>
      </c>
    </row>
    <row r="90" spans="11:13">
      <c r="K90" s="10" t="s">
        <v>292</v>
      </c>
      <c r="L90" s="12" t="s">
        <v>293</v>
      </c>
      <c r="M90" s="13" t="str">
        <f t="shared" si="1"/>
        <v>GP-Guadeloupe</v>
      </c>
    </row>
    <row r="91" spans="11:13">
      <c r="K91" s="10" t="s">
        <v>294</v>
      </c>
      <c r="L91" s="12" t="s">
        <v>295</v>
      </c>
      <c r="M91" s="13" t="str">
        <f t="shared" si="1"/>
        <v>GQ-Equatorial Guinea</v>
      </c>
    </row>
    <row r="92" spans="11:13">
      <c r="K92" s="10" t="s">
        <v>296</v>
      </c>
      <c r="L92" s="12" t="s">
        <v>297</v>
      </c>
      <c r="M92" s="13" t="str">
        <f t="shared" si="1"/>
        <v>GR-Greece</v>
      </c>
    </row>
    <row r="93" spans="11:13">
      <c r="K93" s="10" t="s">
        <v>298</v>
      </c>
      <c r="L93" s="12" t="s">
        <v>299</v>
      </c>
      <c r="M93" s="13" t="str">
        <f t="shared" si="1"/>
        <v>GS-South Georgia and the South Sandwich Islands</v>
      </c>
    </row>
    <row r="94" spans="11:13">
      <c r="K94" s="10" t="s">
        <v>300</v>
      </c>
      <c r="L94" s="12" t="s">
        <v>301</v>
      </c>
      <c r="M94" s="13" t="str">
        <f t="shared" si="1"/>
        <v>GT-Guatemala</v>
      </c>
    </row>
    <row r="95" spans="11:13">
      <c r="K95" s="10" t="s">
        <v>302</v>
      </c>
      <c r="L95" s="12" t="s">
        <v>303</v>
      </c>
      <c r="M95" s="13" t="str">
        <f t="shared" si="1"/>
        <v>GU-Guam</v>
      </c>
    </row>
    <row r="96" spans="11:13">
      <c r="K96" s="10" t="s">
        <v>304</v>
      </c>
      <c r="L96" s="12" t="s">
        <v>305</v>
      </c>
      <c r="M96" s="13" t="str">
        <f t="shared" si="1"/>
        <v>GW-Guinea-Bissau</v>
      </c>
    </row>
    <row r="97" spans="11:13">
      <c r="K97" s="10" t="s">
        <v>306</v>
      </c>
      <c r="L97" s="12" t="s">
        <v>307</v>
      </c>
      <c r="M97" s="13" t="str">
        <f t="shared" si="1"/>
        <v>GY-Guyana</v>
      </c>
    </row>
    <row r="98" spans="11:13">
      <c r="K98" s="10" t="s">
        <v>308</v>
      </c>
      <c r="L98" s="12" t="s">
        <v>309</v>
      </c>
      <c r="M98" s="13" t="str">
        <f t="shared" si="1"/>
        <v>HK-Hong Kong</v>
      </c>
    </row>
    <row r="99" spans="11:13">
      <c r="K99" s="10" t="s">
        <v>310</v>
      </c>
      <c r="L99" s="12" t="s">
        <v>311</v>
      </c>
      <c r="M99" s="13" t="str">
        <f t="shared" si="1"/>
        <v>HM-Heard Island and McDonald Islands</v>
      </c>
    </row>
    <row r="100" spans="11:13">
      <c r="K100" s="10" t="s">
        <v>312</v>
      </c>
      <c r="L100" s="12" t="s">
        <v>313</v>
      </c>
      <c r="M100" s="13" t="str">
        <f t="shared" si="1"/>
        <v>HN-Honduras</v>
      </c>
    </row>
    <row r="101" spans="11:13">
      <c r="K101" s="10" t="s">
        <v>314</v>
      </c>
      <c r="L101" s="12" t="s">
        <v>315</v>
      </c>
      <c r="M101" s="13" t="str">
        <f t="shared" si="1"/>
        <v>HR-Croatia</v>
      </c>
    </row>
    <row r="102" spans="11:13">
      <c r="K102" s="10" t="s">
        <v>316</v>
      </c>
      <c r="L102" s="12" t="s">
        <v>317</v>
      </c>
      <c r="M102" s="13" t="str">
        <f t="shared" si="1"/>
        <v>HT-Haiti</v>
      </c>
    </row>
    <row r="103" spans="11:13">
      <c r="K103" s="10" t="s">
        <v>318</v>
      </c>
      <c r="L103" s="12" t="s">
        <v>319</v>
      </c>
      <c r="M103" s="13" t="str">
        <f t="shared" si="1"/>
        <v>HU-Hungary</v>
      </c>
    </row>
    <row r="104" spans="11:13">
      <c r="K104" s="10" t="s">
        <v>26</v>
      </c>
      <c r="L104" s="12" t="s">
        <v>320</v>
      </c>
      <c r="M104" s="13" t="str">
        <f t="shared" si="1"/>
        <v>ID-Indonesia</v>
      </c>
    </row>
    <row r="105" spans="11:13">
      <c r="K105" s="10" t="s">
        <v>321</v>
      </c>
      <c r="L105" s="12" t="s">
        <v>322</v>
      </c>
      <c r="M105" s="13" t="str">
        <f t="shared" si="1"/>
        <v>IE-Ireland</v>
      </c>
    </row>
    <row r="106" spans="11:13">
      <c r="K106" s="10" t="s">
        <v>323</v>
      </c>
      <c r="L106" s="12" t="s">
        <v>324</v>
      </c>
      <c r="M106" s="13" t="str">
        <f t="shared" si="1"/>
        <v>IL-Israel</v>
      </c>
    </row>
    <row r="107" spans="11:13">
      <c r="K107" s="10" t="s">
        <v>325</v>
      </c>
      <c r="L107" s="12" t="s">
        <v>326</v>
      </c>
      <c r="M107" s="13" t="str">
        <f t="shared" si="1"/>
        <v>IM-Isle of Man</v>
      </c>
    </row>
    <row r="108" spans="11:13">
      <c r="K108" s="10" t="s">
        <v>327</v>
      </c>
      <c r="L108" s="12" t="s">
        <v>328</v>
      </c>
      <c r="M108" s="13" t="str">
        <f t="shared" si="1"/>
        <v>IN-India</v>
      </c>
    </row>
    <row r="109" spans="11:13">
      <c r="K109" s="10" t="s">
        <v>329</v>
      </c>
      <c r="L109" s="12" t="s">
        <v>330</v>
      </c>
      <c r="M109" s="13" t="str">
        <f t="shared" si="1"/>
        <v>IO-British Indian Ocean Territory</v>
      </c>
    </row>
    <row r="110" spans="11:13">
      <c r="K110" s="10" t="s">
        <v>331</v>
      </c>
      <c r="L110" s="12" t="s">
        <v>332</v>
      </c>
      <c r="M110" s="13" t="str">
        <f t="shared" si="1"/>
        <v>IQ-Iraq</v>
      </c>
    </row>
    <row r="111" spans="11:13">
      <c r="K111" s="10" t="s">
        <v>333</v>
      </c>
      <c r="L111" s="12" t="s">
        <v>334</v>
      </c>
      <c r="M111" s="13" t="str">
        <f t="shared" si="1"/>
        <v>IR-Iran, Islamic Republic of</v>
      </c>
    </row>
    <row r="112" spans="11:13">
      <c r="K112" s="10" t="s">
        <v>335</v>
      </c>
      <c r="L112" s="12" t="s">
        <v>336</v>
      </c>
      <c r="M112" s="13" t="str">
        <f t="shared" si="1"/>
        <v>IS-Iceland</v>
      </c>
    </row>
    <row r="113" spans="11:13">
      <c r="K113" s="10" t="s">
        <v>337</v>
      </c>
      <c r="L113" s="12" t="s">
        <v>338</v>
      </c>
      <c r="M113" s="13" t="str">
        <f t="shared" si="1"/>
        <v>IT-Italy</v>
      </c>
    </row>
    <row r="114" spans="11:13">
      <c r="K114" s="10" t="s">
        <v>339</v>
      </c>
      <c r="L114" s="12" t="s">
        <v>340</v>
      </c>
      <c r="M114" s="13" t="str">
        <f t="shared" si="1"/>
        <v>JE-Jersey</v>
      </c>
    </row>
    <row r="115" spans="11:13">
      <c r="K115" s="10" t="s">
        <v>341</v>
      </c>
      <c r="L115" s="12" t="s">
        <v>342</v>
      </c>
      <c r="M115" s="13" t="str">
        <f t="shared" si="1"/>
        <v>JM-Jamaica</v>
      </c>
    </row>
    <row r="116" spans="11:13">
      <c r="K116" s="10" t="s">
        <v>343</v>
      </c>
      <c r="L116" s="12" t="s">
        <v>344</v>
      </c>
      <c r="M116" s="13" t="str">
        <f t="shared" si="1"/>
        <v>JO-Jordan</v>
      </c>
    </row>
    <row r="117" spans="11:13">
      <c r="K117" s="10" t="s">
        <v>345</v>
      </c>
      <c r="L117" s="12" t="s">
        <v>346</v>
      </c>
      <c r="M117" s="13" t="str">
        <f t="shared" si="1"/>
        <v>JP-Japan</v>
      </c>
    </row>
    <row r="118" spans="11:13">
      <c r="K118" s="10" t="s">
        <v>347</v>
      </c>
      <c r="L118" s="12" t="s">
        <v>348</v>
      </c>
      <c r="M118" s="13" t="str">
        <f t="shared" si="1"/>
        <v>KE-Kenya</v>
      </c>
    </row>
    <row r="119" spans="11:13">
      <c r="K119" s="10" t="s">
        <v>349</v>
      </c>
      <c r="L119" s="12" t="s">
        <v>350</v>
      </c>
      <c r="M119" s="13" t="str">
        <f t="shared" si="1"/>
        <v>KG-Kyrgyzstan</v>
      </c>
    </row>
    <row r="120" spans="11:13">
      <c r="K120" s="10" t="s">
        <v>351</v>
      </c>
      <c r="L120" s="12" t="s">
        <v>352</v>
      </c>
      <c r="M120" s="13" t="str">
        <f t="shared" si="1"/>
        <v>KH-Cambodia</v>
      </c>
    </row>
    <row r="121" spans="11:13">
      <c r="K121" s="10" t="s">
        <v>353</v>
      </c>
      <c r="L121" s="12" t="s">
        <v>354</v>
      </c>
      <c r="M121" s="13" t="str">
        <f t="shared" si="1"/>
        <v>KI-Kiribati</v>
      </c>
    </row>
    <row r="122" spans="11:13">
      <c r="K122" s="10" t="s">
        <v>355</v>
      </c>
      <c r="L122" s="12" t="s">
        <v>356</v>
      </c>
      <c r="M122" s="13" t="str">
        <f t="shared" si="1"/>
        <v>KM-Comoros</v>
      </c>
    </row>
    <row r="123" spans="11:13">
      <c r="K123" s="10" t="s">
        <v>357</v>
      </c>
      <c r="L123" s="12" t="s">
        <v>358</v>
      </c>
      <c r="M123" s="13" t="str">
        <f t="shared" si="1"/>
        <v>KN-Saint Kitts and Nevis</v>
      </c>
    </row>
    <row r="124" spans="11:13">
      <c r="K124" s="10" t="s">
        <v>359</v>
      </c>
      <c r="L124" s="12" t="s">
        <v>360</v>
      </c>
      <c r="M124" s="13" t="str">
        <f t="shared" si="1"/>
        <v>KP-Korea, Democratic People's Republic of</v>
      </c>
    </row>
    <row r="125" spans="11:13">
      <c r="K125" s="10" t="s">
        <v>361</v>
      </c>
      <c r="L125" s="12" t="s">
        <v>362</v>
      </c>
      <c r="M125" s="13" t="str">
        <f t="shared" si="1"/>
        <v>KR-Korea, Republic of</v>
      </c>
    </row>
    <row r="126" spans="11:13">
      <c r="K126" s="10" t="s">
        <v>363</v>
      </c>
      <c r="L126" s="12" t="s">
        <v>364</v>
      </c>
      <c r="M126" s="13" t="str">
        <f t="shared" si="1"/>
        <v>KW-Kuwait</v>
      </c>
    </row>
    <row r="127" spans="11:13">
      <c r="K127" s="10" t="s">
        <v>365</v>
      </c>
      <c r="L127" s="12" t="s">
        <v>366</v>
      </c>
      <c r="M127" s="13" t="str">
        <f t="shared" si="1"/>
        <v>KY-Cayman Islands</v>
      </c>
    </row>
    <row r="128" spans="11:13">
      <c r="K128" s="10" t="s">
        <v>367</v>
      </c>
      <c r="L128" s="12" t="s">
        <v>368</v>
      </c>
      <c r="M128" s="13" t="str">
        <f t="shared" si="1"/>
        <v>KZ-Kazakhstan</v>
      </c>
    </row>
    <row r="129" spans="11:13">
      <c r="K129" s="10" t="s">
        <v>369</v>
      </c>
      <c r="L129" s="12" t="s">
        <v>370</v>
      </c>
      <c r="M129" s="13" t="str">
        <f t="shared" si="1"/>
        <v>LA-Lao People's Democratic Republic</v>
      </c>
    </row>
    <row r="130" spans="11:13">
      <c r="K130" s="10" t="s">
        <v>371</v>
      </c>
      <c r="L130" s="12" t="s">
        <v>372</v>
      </c>
      <c r="M130" s="13" t="str">
        <f t="shared" si="1"/>
        <v>LB-Lebanon</v>
      </c>
    </row>
    <row r="131" spans="11:13">
      <c r="K131" s="10" t="s">
        <v>373</v>
      </c>
      <c r="L131" s="12" t="s">
        <v>374</v>
      </c>
      <c r="M131" s="13" t="str">
        <f t="shared" si="1"/>
        <v>LC-Saint Lucia</v>
      </c>
    </row>
    <row r="132" spans="11:13">
      <c r="K132" s="10" t="s">
        <v>375</v>
      </c>
      <c r="L132" s="12" t="s">
        <v>376</v>
      </c>
      <c r="M132" s="13" t="str">
        <f t="shared" si="1"/>
        <v>LI-Liechtenstein</v>
      </c>
    </row>
    <row r="133" spans="11:13">
      <c r="K133" s="10" t="s">
        <v>377</v>
      </c>
      <c r="L133" s="12" t="s">
        <v>378</v>
      </c>
      <c r="M133" s="13" t="str">
        <f t="shared" ref="M133:M196" si="2">K133&amp;"-"&amp;L133</f>
        <v>LK-Sri Lanka</v>
      </c>
    </row>
    <row r="134" spans="11:13">
      <c r="K134" s="10" t="s">
        <v>379</v>
      </c>
      <c r="L134" s="12" t="s">
        <v>380</v>
      </c>
      <c r="M134" s="13" t="str">
        <f t="shared" si="2"/>
        <v>LR-Liberia</v>
      </c>
    </row>
    <row r="135" spans="11:13">
      <c r="K135" s="10" t="s">
        <v>381</v>
      </c>
      <c r="L135" s="12" t="s">
        <v>382</v>
      </c>
      <c r="M135" s="13" t="str">
        <f t="shared" si="2"/>
        <v>LS-Lesotho</v>
      </c>
    </row>
    <row r="136" spans="11:13">
      <c r="K136" s="10" t="s">
        <v>383</v>
      </c>
      <c r="L136" s="12" t="s">
        <v>384</v>
      </c>
      <c r="M136" s="13" t="str">
        <f t="shared" si="2"/>
        <v>LT-Lithuania</v>
      </c>
    </row>
    <row r="137" spans="11:13">
      <c r="K137" s="10" t="s">
        <v>385</v>
      </c>
      <c r="L137" s="12" t="s">
        <v>386</v>
      </c>
      <c r="M137" s="13" t="str">
        <f t="shared" si="2"/>
        <v>LU-Luxembourg</v>
      </c>
    </row>
    <row r="138" spans="11:13">
      <c r="K138" s="10" t="s">
        <v>387</v>
      </c>
      <c r="L138" s="12" t="s">
        <v>388</v>
      </c>
      <c r="M138" s="13" t="str">
        <f t="shared" si="2"/>
        <v>LV-Latvia</v>
      </c>
    </row>
    <row r="139" spans="11:13">
      <c r="K139" s="10" t="s">
        <v>389</v>
      </c>
      <c r="L139" s="12" t="s">
        <v>390</v>
      </c>
      <c r="M139" s="13" t="str">
        <f t="shared" si="2"/>
        <v>LY-Libya</v>
      </c>
    </row>
    <row r="140" spans="11:13">
      <c r="K140" s="10" t="s">
        <v>391</v>
      </c>
      <c r="L140" s="12" t="s">
        <v>392</v>
      </c>
      <c r="M140" s="13" t="str">
        <f t="shared" si="2"/>
        <v>MA-Morocco</v>
      </c>
    </row>
    <row r="141" spans="11:13">
      <c r="K141" s="10" t="s">
        <v>393</v>
      </c>
      <c r="L141" s="12" t="s">
        <v>394</v>
      </c>
      <c r="M141" s="13" t="str">
        <f t="shared" si="2"/>
        <v>MC-Monaco</v>
      </c>
    </row>
    <row r="142" spans="11:13">
      <c r="K142" s="10" t="s">
        <v>395</v>
      </c>
      <c r="L142" s="12" t="s">
        <v>396</v>
      </c>
      <c r="M142" s="13" t="str">
        <f t="shared" si="2"/>
        <v>MD-Moldova, Republic of</v>
      </c>
    </row>
    <row r="143" spans="11:13">
      <c r="K143" s="10" t="s">
        <v>397</v>
      </c>
      <c r="L143" s="12" t="s">
        <v>398</v>
      </c>
      <c r="M143" s="13" t="str">
        <f t="shared" si="2"/>
        <v>ME-Montenegro</v>
      </c>
    </row>
    <row r="144" spans="11:13">
      <c r="K144" s="10" t="s">
        <v>399</v>
      </c>
      <c r="L144" s="12" t="s">
        <v>400</v>
      </c>
      <c r="M144" s="13" t="str">
        <f t="shared" si="2"/>
        <v>MF-Saint Martin (French part)</v>
      </c>
    </row>
    <row r="145" spans="11:13">
      <c r="K145" s="10" t="s">
        <v>401</v>
      </c>
      <c r="L145" s="12" t="s">
        <v>402</v>
      </c>
      <c r="M145" s="13" t="str">
        <f t="shared" si="2"/>
        <v>MG-Madagascar</v>
      </c>
    </row>
    <row r="146" spans="11:13">
      <c r="K146" s="10" t="s">
        <v>403</v>
      </c>
      <c r="L146" s="12" t="s">
        <v>404</v>
      </c>
      <c r="M146" s="13" t="str">
        <f t="shared" si="2"/>
        <v>MH-Marshall Islands</v>
      </c>
    </row>
    <row r="147" spans="11:13">
      <c r="K147" s="10" t="s">
        <v>405</v>
      </c>
      <c r="L147" s="12" t="s">
        <v>406</v>
      </c>
      <c r="M147" s="13" t="str">
        <f t="shared" si="2"/>
        <v>MK-Macedonia, the former Yugoslav Republic of</v>
      </c>
    </row>
    <row r="148" spans="11:13">
      <c r="K148" s="10" t="s">
        <v>407</v>
      </c>
      <c r="L148" s="12" t="s">
        <v>408</v>
      </c>
      <c r="M148" s="13" t="str">
        <f t="shared" si="2"/>
        <v>ML-Mali</v>
      </c>
    </row>
    <row r="149" spans="11:13">
      <c r="K149" s="10" t="s">
        <v>409</v>
      </c>
      <c r="L149" s="12" t="s">
        <v>410</v>
      </c>
      <c r="M149" s="13" t="str">
        <f t="shared" si="2"/>
        <v>MM-Myanmar</v>
      </c>
    </row>
    <row r="150" spans="11:13">
      <c r="K150" s="10" t="s">
        <v>411</v>
      </c>
      <c r="L150" s="12" t="s">
        <v>412</v>
      </c>
      <c r="M150" s="13" t="str">
        <f t="shared" si="2"/>
        <v>MN-Mongolia</v>
      </c>
    </row>
    <row r="151" spans="11:13">
      <c r="K151" s="10" t="s">
        <v>413</v>
      </c>
      <c r="L151" s="12" t="s">
        <v>414</v>
      </c>
      <c r="M151" s="13" t="str">
        <f t="shared" si="2"/>
        <v>MO-Macao</v>
      </c>
    </row>
    <row r="152" spans="11:13">
      <c r="K152" s="10" t="s">
        <v>415</v>
      </c>
      <c r="L152" s="12" t="s">
        <v>416</v>
      </c>
      <c r="M152" s="13" t="str">
        <f t="shared" si="2"/>
        <v>MP-Northern Mariana Islands</v>
      </c>
    </row>
    <row r="153" spans="11:13">
      <c r="K153" s="10" t="s">
        <v>417</v>
      </c>
      <c r="L153" s="12" t="s">
        <v>418</v>
      </c>
      <c r="M153" s="13" t="str">
        <f t="shared" si="2"/>
        <v>MQ-Martinique</v>
      </c>
    </row>
    <row r="154" spans="11:13">
      <c r="K154" s="10" t="s">
        <v>419</v>
      </c>
      <c r="L154" s="12" t="s">
        <v>420</v>
      </c>
      <c r="M154" s="13" t="str">
        <f t="shared" si="2"/>
        <v>MR-Mauritania</v>
      </c>
    </row>
    <row r="155" spans="11:13">
      <c r="K155" s="10" t="s">
        <v>421</v>
      </c>
      <c r="L155" s="12" t="s">
        <v>422</v>
      </c>
      <c r="M155" s="13" t="str">
        <f t="shared" si="2"/>
        <v>MS-Montserrat</v>
      </c>
    </row>
    <row r="156" spans="11:13">
      <c r="K156" s="10" t="s">
        <v>423</v>
      </c>
      <c r="L156" s="12" t="s">
        <v>424</v>
      </c>
      <c r="M156" s="13" t="str">
        <f t="shared" si="2"/>
        <v>MT-Malta</v>
      </c>
    </row>
    <row r="157" spans="11:13">
      <c r="K157" s="10" t="s">
        <v>425</v>
      </c>
      <c r="L157" s="12" t="s">
        <v>426</v>
      </c>
      <c r="M157" s="13" t="str">
        <f t="shared" si="2"/>
        <v>MU-Mauritius</v>
      </c>
    </row>
    <row r="158" spans="11:13">
      <c r="K158" s="10" t="s">
        <v>427</v>
      </c>
      <c r="L158" s="12" t="s">
        <v>428</v>
      </c>
      <c r="M158" s="13" t="str">
        <f t="shared" si="2"/>
        <v>MV-Maldives</v>
      </c>
    </row>
    <row r="159" spans="11:13">
      <c r="K159" s="10" t="s">
        <v>429</v>
      </c>
      <c r="L159" s="12" t="s">
        <v>430</v>
      </c>
      <c r="M159" s="13" t="str">
        <f t="shared" si="2"/>
        <v>MW-Malawi</v>
      </c>
    </row>
    <row r="160" spans="11:13">
      <c r="K160" s="10" t="s">
        <v>431</v>
      </c>
      <c r="L160" s="12" t="s">
        <v>432</v>
      </c>
      <c r="M160" s="13" t="str">
        <f t="shared" si="2"/>
        <v>MX-Mexico</v>
      </c>
    </row>
    <row r="161" spans="11:13">
      <c r="K161" s="10" t="s">
        <v>433</v>
      </c>
      <c r="L161" s="12" t="s">
        <v>434</v>
      </c>
      <c r="M161" s="13" t="str">
        <f t="shared" si="2"/>
        <v>MY-Malaysia</v>
      </c>
    </row>
    <row r="162" spans="11:13">
      <c r="K162" s="10" t="s">
        <v>435</v>
      </c>
      <c r="L162" s="12" t="s">
        <v>436</v>
      </c>
      <c r="M162" s="13" t="str">
        <f t="shared" si="2"/>
        <v>MZ-Mozambique</v>
      </c>
    </row>
    <row r="163" spans="11:13">
      <c r="K163" s="10" t="s">
        <v>437</v>
      </c>
      <c r="L163" s="12" t="s">
        <v>438</v>
      </c>
      <c r="M163" s="13" t="str">
        <f t="shared" si="2"/>
        <v>NA-Namibia</v>
      </c>
    </row>
    <row r="164" spans="11:13">
      <c r="K164" s="10" t="s">
        <v>439</v>
      </c>
      <c r="L164" s="12" t="s">
        <v>440</v>
      </c>
      <c r="M164" s="13" t="str">
        <f t="shared" si="2"/>
        <v>NC-New Caledonia</v>
      </c>
    </row>
    <row r="165" spans="11:13">
      <c r="K165" s="10" t="s">
        <v>441</v>
      </c>
      <c r="L165" s="12" t="s">
        <v>442</v>
      </c>
      <c r="M165" s="13" t="str">
        <f t="shared" si="2"/>
        <v>NE-Niger</v>
      </c>
    </row>
    <row r="166" spans="11:13">
      <c r="K166" s="10" t="s">
        <v>443</v>
      </c>
      <c r="L166" s="12" t="s">
        <v>444</v>
      </c>
      <c r="M166" s="13" t="str">
        <f t="shared" si="2"/>
        <v>NF-Norfolk Island</v>
      </c>
    </row>
    <row r="167" spans="11:13">
      <c r="K167" s="10" t="s">
        <v>445</v>
      </c>
      <c r="L167" s="12" t="s">
        <v>446</v>
      </c>
      <c r="M167" s="13" t="str">
        <f t="shared" si="2"/>
        <v>NG-Nigeria</v>
      </c>
    </row>
    <row r="168" spans="11:13">
      <c r="K168" s="10" t="s">
        <v>447</v>
      </c>
      <c r="L168" s="12" t="s">
        <v>448</v>
      </c>
      <c r="M168" s="13" t="str">
        <f t="shared" si="2"/>
        <v>NI-Nicaragua</v>
      </c>
    </row>
    <row r="169" spans="11:13">
      <c r="K169" s="10" t="s">
        <v>449</v>
      </c>
      <c r="L169" s="12" t="s">
        <v>450</v>
      </c>
      <c r="M169" s="13" t="str">
        <f t="shared" si="2"/>
        <v>NL-Netherlands</v>
      </c>
    </row>
    <row r="170" spans="11:13">
      <c r="K170" s="10" t="s">
        <v>451</v>
      </c>
      <c r="L170" s="12" t="s">
        <v>452</v>
      </c>
      <c r="M170" s="13" t="str">
        <f t="shared" si="2"/>
        <v>NO-Norway</v>
      </c>
    </row>
    <row r="171" spans="11:13">
      <c r="K171" s="10" t="s">
        <v>453</v>
      </c>
      <c r="L171" s="12" t="s">
        <v>454</v>
      </c>
      <c r="M171" s="13" t="str">
        <f t="shared" si="2"/>
        <v>NP-Nepal</v>
      </c>
    </row>
    <row r="172" spans="11:13">
      <c r="K172" s="10" t="s">
        <v>455</v>
      </c>
      <c r="L172" s="12" t="s">
        <v>456</v>
      </c>
      <c r="M172" s="13" t="str">
        <f t="shared" si="2"/>
        <v>NR-Nauru</v>
      </c>
    </row>
    <row r="173" spans="11:13">
      <c r="K173" s="10" t="s">
        <v>457</v>
      </c>
      <c r="L173" s="12" t="s">
        <v>458</v>
      </c>
      <c r="M173" s="13" t="str">
        <f t="shared" si="2"/>
        <v>NU-Niue</v>
      </c>
    </row>
    <row r="174" spans="11:13">
      <c r="K174" s="10" t="s">
        <v>459</v>
      </c>
      <c r="L174" s="12" t="s">
        <v>460</v>
      </c>
      <c r="M174" s="13" t="str">
        <f t="shared" si="2"/>
        <v>NZ-New Zealand</v>
      </c>
    </row>
    <row r="175" spans="11:13">
      <c r="K175" s="10" t="s">
        <v>461</v>
      </c>
      <c r="L175" s="12" t="s">
        <v>462</v>
      </c>
      <c r="M175" s="13" t="str">
        <f t="shared" si="2"/>
        <v>OM-Oman</v>
      </c>
    </row>
    <row r="176" spans="11:13">
      <c r="K176" s="10" t="s">
        <v>463</v>
      </c>
      <c r="L176" s="12" t="s">
        <v>464</v>
      </c>
      <c r="M176" s="13" t="str">
        <f t="shared" si="2"/>
        <v>PA-Panama</v>
      </c>
    </row>
    <row r="177" spans="11:13">
      <c r="K177" s="10" t="s">
        <v>465</v>
      </c>
      <c r="L177" s="12" t="s">
        <v>466</v>
      </c>
      <c r="M177" s="13" t="str">
        <f t="shared" si="2"/>
        <v>PE-Peru</v>
      </c>
    </row>
    <row r="178" spans="11:13">
      <c r="K178" s="10" t="s">
        <v>467</v>
      </c>
      <c r="L178" s="12" t="s">
        <v>468</v>
      </c>
      <c r="M178" s="13" t="str">
        <f t="shared" si="2"/>
        <v>PF-French Polynesia</v>
      </c>
    </row>
    <row r="179" spans="11:13">
      <c r="K179" s="10" t="s">
        <v>469</v>
      </c>
      <c r="L179" s="12" t="s">
        <v>470</v>
      </c>
      <c r="M179" s="13" t="str">
        <f t="shared" si="2"/>
        <v>PG-Papua New Guinea</v>
      </c>
    </row>
    <row r="180" spans="11:13">
      <c r="K180" s="10" t="s">
        <v>471</v>
      </c>
      <c r="L180" s="12" t="s">
        <v>472</v>
      </c>
      <c r="M180" s="13" t="str">
        <f t="shared" si="2"/>
        <v>PH-Philippines</v>
      </c>
    </row>
    <row r="181" spans="11:13">
      <c r="K181" s="10" t="s">
        <v>473</v>
      </c>
      <c r="L181" s="12" t="s">
        <v>474</v>
      </c>
      <c r="M181" s="13" t="str">
        <f t="shared" si="2"/>
        <v>PK-Pakistan</v>
      </c>
    </row>
    <row r="182" spans="11:13">
      <c r="K182" s="10" t="s">
        <v>475</v>
      </c>
      <c r="L182" s="12" t="s">
        <v>476</v>
      </c>
      <c r="M182" s="13" t="str">
        <f t="shared" si="2"/>
        <v>PL-Poland</v>
      </c>
    </row>
    <row r="183" spans="11:13">
      <c r="K183" s="10" t="s">
        <v>477</v>
      </c>
      <c r="L183" s="12" t="s">
        <v>478</v>
      </c>
      <c r="M183" s="13" t="str">
        <f t="shared" si="2"/>
        <v>PM-Saint Pierre and Miquelon</v>
      </c>
    </row>
    <row r="184" spans="11:13">
      <c r="K184" s="10" t="s">
        <v>479</v>
      </c>
      <c r="L184" s="12" t="s">
        <v>480</v>
      </c>
      <c r="M184" s="13" t="str">
        <f t="shared" si="2"/>
        <v>PN-Pitcairn</v>
      </c>
    </row>
    <row r="185" spans="11:13">
      <c r="K185" s="10" t="s">
        <v>481</v>
      </c>
      <c r="L185" s="12" t="s">
        <v>482</v>
      </c>
      <c r="M185" s="13" t="str">
        <f t="shared" si="2"/>
        <v>PR-Puerto Rico</v>
      </c>
    </row>
    <row r="186" spans="11:13">
      <c r="K186" s="10" t="s">
        <v>483</v>
      </c>
      <c r="L186" s="12" t="s">
        <v>484</v>
      </c>
      <c r="M186" s="13" t="str">
        <f t="shared" si="2"/>
        <v>PS-Palestine, State of</v>
      </c>
    </row>
    <row r="187" spans="11:13">
      <c r="K187" s="10" t="s">
        <v>485</v>
      </c>
      <c r="L187" s="12" t="s">
        <v>486</v>
      </c>
      <c r="M187" s="13" t="str">
        <f t="shared" si="2"/>
        <v>PT-Portugal</v>
      </c>
    </row>
    <row r="188" spans="11:13">
      <c r="K188" s="10" t="s">
        <v>487</v>
      </c>
      <c r="L188" s="12" t="s">
        <v>488</v>
      </c>
      <c r="M188" s="13" t="str">
        <f t="shared" si="2"/>
        <v>PW-Palau</v>
      </c>
    </row>
    <row r="189" spans="11:13">
      <c r="K189" s="10" t="s">
        <v>489</v>
      </c>
      <c r="L189" s="12" t="s">
        <v>490</v>
      </c>
      <c r="M189" s="13" t="str">
        <f t="shared" si="2"/>
        <v>PY-Paraguay</v>
      </c>
    </row>
    <row r="190" spans="11:13">
      <c r="K190" s="10" t="s">
        <v>491</v>
      </c>
      <c r="L190" s="12" t="s">
        <v>492</v>
      </c>
      <c r="M190" s="13" t="str">
        <f t="shared" si="2"/>
        <v>QA-Qatar</v>
      </c>
    </row>
    <row r="191" spans="11:13">
      <c r="K191" s="10" t="s">
        <v>493</v>
      </c>
      <c r="L191" s="12" t="s">
        <v>714</v>
      </c>
      <c r="M191" s="13" t="str">
        <f t="shared" si="2"/>
        <v>RE-Reunion</v>
      </c>
    </row>
    <row r="192" spans="11:13">
      <c r="K192" s="10" t="s">
        <v>494</v>
      </c>
      <c r="L192" s="12" t="s">
        <v>495</v>
      </c>
      <c r="M192" s="13" t="str">
        <f t="shared" si="2"/>
        <v>RO-Romania</v>
      </c>
    </row>
    <row r="193" spans="11:13">
      <c r="K193" s="10" t="s">
        <v>496</v>
      </c>
      <c r="L193" s="12" t="s">
        <v>497</v>
      </c>
      <c r="M193" s="13" t="str">
        <f t="shared" si="2"/>
        <v>RS-Serbia</v>
      </c>
    </row>
    <row r="194" spans="11:13">
      <c r="K194" s="10" t="s">
        <v>498</v>
      </c>
      <c r="L194" s="12" t="s">
        <v>499</v>
      </c>
      <c r="M194" s="13" t="str">
        <f t="shared" si="2"/>
        <v>RU-Russian Federation</v>
      </c>
    </row>
    <row r="195" spans="11:13">
      <c r="K195" s="10" t="s">
        <v>500</v>
      </c>
      <c r="L195" s="12" t="s">
        <v>501</v>
      </c>
      <c r="M195" s="13" t="str">
        <f t="shared" si="2"/>
        <v>RW-Rwanda</v>
      </c>
    </row>
    <row r="196" spans="11:13">
      <c r="K196" s="10" t="s">
        <v>502</v>
      </c>
      <c r="L196" s="12" t="s">
        <v>503</v>
      </c>
      <c r="M196" s="13" t="str">
        <f t="shared" si="2"/>
        <v>SA-Saudi Arabia</v>
      </c>
    </row>
    <row r="197" spans="11:13">
      <c r="K197" s="10" t="s">
        <v>504</v>
      </c>
      <c r="L197" s="12" t="s">
        <v>505</v>
      </c>
      <c r="M197" s="13" t="str">
        <f t="shared" ref="M197:M252" si="3">K197&amp;"-"&amp;L197</f>
        <v>SB-Solomon Islands</v>
      </c>
    </row>
    <row r="198" spans="11:13">
      <c r="K198" s="10" t="s">
        <v>506</v>
      </c>
      <c r="L198" s="12" t="s">
        <v>507</v>
      </c>
      <c r="M198" s="13" t="str">
        <f t="shared" si="3"/>
        <v>SC-Seychelles</v>
      </c>
    </row>
    <row r="199" spans="11:13">
      <c r="K199" s="10" t="s">
        <v>508</v>
      </c>
      <c r="L199" s="12" t="s">
        <v>509</v>
      </c>
      <c r="M199" s="13" t="str">
        <f t="shared" si="3"/>
        <v>SD-Sudan</v>
      </c>
    </row>
    <row r="200" spans="11:13">
      <c r="K200" s="10" t="s">
        <v>510</v>
      </c>
      <c r="L200" s="12" t="s">
        <v>511</v>
      </c>
      <c r="M200" s="13" t="str">
        <f t="shared" si="3"/>
        <v>SE-Sweden</v>
      </c>
    </row>
    <row r="201" spans="11:13">
      <c r="K201" s="10" t="s">
        <v>512</v>
      </c>
      <c r="L201" s="12" t="s">
        <v>513</v>
      </c>
      <c r="M201" s="13" t="str">
        <f t="shared" si="3"/>
        <v>SG-Singapore</v>
      </c>
    </row>
    <row r="202" spans="11:13">
      <c r="K202" s="10" t="s">
        <v>514</v>
      </c>
      <c r="L202" s="12" t="s">
        <v>515</v>
      </c>
      <c r="M202" s="13" t="str">
        <f t="shared" si="3"/>
        <v>SH-Saint Helena, Ascension and Tristan da Cunha</v>
      </c>
    </row>
    <row r="203" spans="11:13">
      <c r="K203" s="10" t="s">
        <v>516</v>
      </c>
      <c r="L203" s="12" t="s">
        <v>517</v>
      </c>
      <c r="M203" s="13" t="str">
        <f t="shared" si="3"/>
        <v>SI-Slovenia</v>
      </c>
    </row>
    <row r="204" spans="11:13">
      <c r="K204" s="10" t="s">
        <v>518</v>
      </c>
      <c r="L204" s="12" t="s">
        <v>519</v>
      </c>
      <c r="M204" s="13" t="str">
        <f t="shared" si="3"/>
        <v>SJ-Svalbard and Jan Mayen</v>
      </c>
    </row>
    <row r="205" spans="11:13">
      <c r="K205" s="10" t="s">
        <v>520</v>
      </c>
      <c r="L205" s="12" t="s">
        <v>521</v>
      </c>
      <c r="M205" s="13" t="str">
        <f t="shared" si="3"/>
        <v>SK-Slovakia</v>
      </c>
    </row>
    <row r="206" spans="11:13">
      <c r="K206" s="10" t="s">
        <v>522</v>
      </c>
      <c r="L206" s="12" t="s">
        <v>523</v>
      </c>
      <c r="M206" s="13" t="str">
        <f t="shared" si="3"/>
        <v>SL-Sierra Leone</v>
      </c>
    </row>
    <row r="207" spans="11:13">
      <c r="K207" s="10" t="s">
        <v>524</v>
      </c>
      <c r="L207" s="12" t="s">
        <v>525</v>
      </c>
      <c r="M207" s="13" t="str">
        <f t="shared" si="3"/>
        <v>SM-San Marino</v>
      </c>
    </row>
    <row r="208" spans="11:13">
      <c r="K208" s="10" t="s">
        <v>526</v>
      </c>
      <c r="L208" s="12" t="s">
        <v>527</v>
      </c>
      <c r="M208" s="13" t="str">
        <f t="shared" si="3"/>
        <v>SN-Senegal</v>
      </c>
    </row>
    <row r="209" spans="11:13">
      <c r="K209" s="10" t="s">
        <v>528</v>
      </c>
      <c r="L209" s="12" t="s">
        <v>529</v>
      </c>
      <c r="M209" s="13" t="str">
        <f t="shared" si="3"/>
        <v>SO-Somalia</v>
      </c>
    </row>
    <row r="210" spans="11:13">
      <c r="K210" s="10" t="s">
        <v>530</v>
      </c>
      <c r="L210" s="12" t="s">
        <v>531</v>
      </c>
      <c r="M210" s="13" t="str">
        <f t="shared" si="3"/>
        <v>SR-Suriname</v>
      </c>
    </row>
    <row r="211" spans="11:13">
      <c r="K211" s="10" t="s">
        <v>532</v>
      </c>
      <c r="L211" s="12" t="s">
        <v>533</v>
      </c>
      <c r="M211" s="13" t="str">
        <f t="shared" si="3"/>
        <v>SS-South Sudan</v>
      </c>
    </row>
    <row r="212" spans="11:13">
      <c r="K212" s="10" t="s">
        <v>534</v>
      </c>
      <c r="L212" s="12" t="s">
        <v>535</v>
      </c>
      <c r="M212" s="13" t="str">
        <f t="shared" si="3"/>
        <v>ST-Sao Tome and Principe</v>
      </c>
    </row>
    <row r="213" spans="11:13">
      <c r="K213" s="10" t="s">
        <v>536</v>
      </c>
      <c r="L213" s="12" t="s">
        <v>537</v>
      </c>
      <c r="M213" s="13" t="str">
        <f t="shared" si="3"/>
        <v>SV-El Salvador</v>
      </c>
    </row>
    <row r="214" spans="11:13">
      <c r="K214" s="10" t="s">
        <v>538</v>
      </c>
      <c r="L214" s="12" t="s">
        <v>539</v>
      </c>
      <c r="M214" s="13" t="str">
        <f t="shared" si="3"/>
        <v>SX-Sint Maarten (Dutch part)</v>
      </c>
    </row>
    <row r="215" spans="11:13">
      <c r="K215" s="10" t="s">
        <v>540</v>
      </c>
      <c r="L215" s="12" t="s">
        <v>541</v>
      </c>
      <c r="M215" s="13" t="str">
        <f t="shared" si="3"/>
        <v>SY-Syrian Arab Republic</v>
      </c>
    </row>
    <row r="216" spans="11:13">
      <c r="K216" s="10" t="s">
        <v>542</v>
      </c>
      <c r="L216" s="12" t="s">
        <v>543</v>
      </c>
      <c r="M216" s="13" t="str">
        <f t="shared" si="3"/>
        <v>SZ-Swaziland</v>
      </c>
    </row>
    <row r="217" spans="11:13">
      <c r="K217" s="10" t="s">
        <v>544</v>
      </c>
      <c r="L217" s="12" t="s">
        <v>545</v>
      </c>
      <c r="M217" s="13" t="str">
        <f t="shared" si="3"/>
        <v>TC-Turks and Caicos Islands</v>
      </c>
    </row>
    <row r="218" spans="11:13">
      <c r="K218" s="10" t="s">
        <v>546</v>
      </c>
      <c r="L218" s="12" t="s">
        <v>547</v>
      </c>
      <c r="M218" s="13" t="str">
        <f t="shared" si="3"/>
        <v>TD-Chad</v>
      </c>
    </row>
    <row r="219" spans="11:13">
      <c r="K219" s="10" t="s">
        <v>548</v>
      </c>
      <c r="L219" s="12" t="s">
        <v>549</v>
      </c>
      <c r="M219" s="13" t="str">
        <f t="shared" si="3"/>
        <v>TF-French Southern Territories</v>
      </c>
    </row>
    <row r="220" spans="11:13">
      <c r="K220" s="10" t="s">
        <v>550</v>
      </c>
      <c r="L220" s="12" t="s">
        <v>551</v>
      </c>
      <c r="M220" s="13" t="str">
        <f t="shared" si="3"/>
        <v>TG-Togo</v>
      </c>
    </row>
    <row r="221" spans="11:13">
      <c r="K221" s="10" t="s">
        <v>552</v>
      </c>
      <c r="L221" s="12" t="s">
        <v>553</v>
      </c>
      <c r="M221" s="13" t="str">
        <f t="shared" si="3"/>
        <v>TH-Thailand</v>
      </c>
    </row>
    <row r="222" spans="11:13">
      <c r="K222" s="10" t="s">
        <v>554</v>
      </c>
      <c r="L222" s="12" t="s">
        <v>555</v>
      </c>
      <c r="M222" s="13" t="str">
        <f t="shared" si="3"/>
        <v>TJ-Tajikistan</v>
      </c>
    </row>
    <row r="223" spans="11:13">
      <c r="K223" s="10" t="s">
        <v>556</v>
      </c>
      <c r="L223" s="12" t="s">
        <v>557</v>
      </c>
      <c r="M223" s="13" t="str">
        <f t="shared" si="3"/>
        <v>TK-Tokelau</v>
      </c>
    </row>
    <row r="224" spans="11:13">
      <c r="K224" s="10" t="s">
        <v>558</v>
      </c>
      <c r="L224" s="12" t="s">
        <v>559</v>
      </c>
      <c r="M224" s="13" t="str">
        <f t="shared" si="3"/>
        <v>TL-Timor-Leste</v>
      </c>
    </row>
    <row r="225" spans="11:13">
      <c r="K225" s="10" t="s">
        <v>560</v>
      </c>
      <c r="L225" s="12" t="s">
        <v>561</v>
      </c>
      <c r="M225" s="13" t="str">
        <f t="shared" si="3"/>
        <v>TM-Turkmenistan</v>
      </c>
    </row>
    <row r="226" spans="11:13">
      <c r="K226" s="10" t="s">
        <v>562</v>
      </c>
      <c r="L226" s="12" t="s">
        <v>563</v>
      </c>
      <c r="M226" s="13" t="str">
        <f t="shared" si="3"/>
        <v>TN-Tunisia</v>
      </c>
    </row>
    <row r="227" spans="11:13">
      <c r="K227" s="10" t="s">
        <v>564</v>
      </c>
      <c r="L227" s="12" t="s">
        <v>565</v>
      </c>
      <c r="M227" s="13" t="str">
        <f t="shared" si="3"/>
        <v>TO-Tonga</v>
      </c>
    </row>
    <row r="228" spans="11:13">
      <c r="K228" s="10" t="s">
        <v>566</v>
      </c>
      <c r="L228" s="12" t="s">
        <v>567</v>
      </c>
      <c r="M228" s="13" t="str">
        <f t="shared" si="3"/>
        <v>TR-Turkey</v>
      </c>
    </row>
    <row r="229" spans="11:13">
      <c r="K229" s="10" t="s">
        <v>568</v>
      </c>
      <c r="L229" s="12" t="s">
        <v>569</v>
      </c>
      <c r="M229" s="13" t="str">
        <f t="shared" si="3"/>
        <v>TT-Trinidad and Tobago</v>
      </c>
    </row>
    <row r="230" spans="11:13">
      <c r="K230" s="10" t="s">
        <v>570</v>
      </c>
      <c r="L230" s="12" t="s">
        <v>571</v>
      </c>
      <c r="M230" s="13" t="str">
        <f t="shared" si="3"/>
        <v>TV-Tuvalu</v>
      </c>
    </row>
    <row r="231" spans="11:13">
      <c r="K231" s="10" t="s">
        <v>572</v>
      </c>
      <c r="L231" s="12" t="s">
        <v>573</v>
      </c>
      <c r="M231" s="13" t="str">
        <f t="shared" si="3"/>
        <v>TW-Taiwan, Province of China</v>
      </c>
    </row>
    <row r="232" spans="11:13">
      <c r="K232" s="10" t="s">
        <v>574</v>
      </c>
      <c r="L232" s="12" t="s">
        <v>575</v>
      </c>
      <c r="M232" s="13" t="str">
        <f t="shared" si="3"/>
        <v>TZ-Tanzania, United Republic of</v>
      </c>
    </row>
    <row r="233" spans="11:13">
      <c r="K233" s="10" t="s">
        <v>576</v>
      </c>
      <c r="L233" s="12" t="s">
        <v>577</v>
      </c>
      <c r="M233" s="13" t="str">
        <f t="shared" si="3"/>
        <v>UA-Ukraine</v>
      </c>
    </row>
    <row r="234" spans="11:13">
      <c r="K234" s="10" t="s">
        <v>578</v>
      </c>
      <c r="L234" s="12" t="s">
        <v>579</v>
      </c>
      <c r="M234" s="13" t="str">
        <f t="shared" si="3"/>
        <v>UG-Uganda</v>
      </c>
    </row>
    <row r="235" spans="11:13">
      <c r="K235" s="10" t="s">
        <v>580</v>
      </c>
      <c r="L235" s="12" t="s">
        <v>581</v>
      </c>
      <c r="M235" s="13" t="str">
        <f t="shared" si="3"/>
        <v>UM-United States Minor Outlying Islands</v>
      </c>
    </row>
    <row r="236" spans="11:13">
      <c r="K236" s="10" t="s">
        <v>582</v>
      </c>
      <c r="L236" s="12" t="s">
        <v>583</v>
      </c>
      <c r="M236" s="13" t="str">
        <f t="shared" si="3"/>
        <v>US-United States</v>
      </c>
    </row>
    <row r="237" spans="11:13">
      <c r="K237" s="10" t="s">
        <v>584</v>
      </c>
      <c r="L237" s="12" t="s">
        <v>585</v>
      </c>
      <c r="M237" s="13" t="str">
        <f t="shared" si="3"/>
        <v>UY-Uruguay</v>
      </c>
    </row>
    <row r="238" spans="11:13">
      <c r="K238" s="10" t="s">
        <v>586</v>
      </c>
      <c r="L238" s="12" t="s">
        <v>587</v>
      </c>
      <c r="M238" s="13" t="str">
        <f t="shared" si="3"/>
        <v>UZ-Uzbekistan</v>
      </c>
    </row>
    <row r="239" spans="11:13">
      <c r="K239" s="10" t="s">
        <v>588</v>
      </c>
      <c r="L239" s="12" t="s">
        <v>589</v>
      </c>
      <c r="M239" s="13" t="str">
        <f t="shared" si="3"/>
        <v>VA-Holy See (Vatican City State)</v>
      </c>
    </row>
    <row r="240" spans="11:13">
      <c r="K240" s="10" t="s">
        <v>590</v>
      </c>
      <c r="L240" s="12" t="s">
        <v>591</v>
      </c>
      <c r="M240" s="13" t="str">
        <f t="shared" si="3"/>
        <v>VC-Saint Vincent and the Grenadines</v>
      </c>
    </row>
    <row r="241" spans="11:13">
      <c r="K241" s="10" t="s">
        <v>592</v>
      </c>
      <c r="L241" s="12" t="s">
        <v>593</v>
      </c>
      <c r="M241" s="13" t="str">
        <f t="shared" si="3"/>
        <v>VE-Venezuela, Bolivarian Republic of</v>
      </c>
    </row>
    <row r="242" spans="11:13">
      <c r="K242" s="10" t="s">
        <v>594</v>
      </c>
      <c r="L242" s="12" t="s">
        <v>595</v>
      </c>
      <c r="M242" s="13" t="str">
        <f t="shared" si="3"/>
        <v>VG-Virgin Islands, British</v>
      </c>
    </row>
    <row r="243" spans="11:13">
      <c r="K243" s="10" t="s">
        <v>596</v>
      </c>
      <c r="L243" s="12" t="s">
        <v>597</v>
      </c>
      <c r="M243" s="13" t="str">
        <f t="shared" si="3"/>
        <v>VI-Virgin Islands, U.S.</v>
      </c>
    </row>
    <row r="244" spans="11:13">
      <c r="K244" s="10" t="s">
        <v>598</v>
      </c>
      <c r="L244" s="12" t="s">
        <v>599</v>
      </c>
      <c r="M244" s="13" t="str">
        <f t="shared" si="3"/>
        <v>VN-Viet Nam</v>
      </c>
    </row>
    <row r="245" spans="11:13">
      <c r="K245" s="10" t="s">
        <v>600</v>
      </c>
      <c r="L245" s="12" t="s">
        <v>601</v>
      </c>
      <c r="M245" s="13" t="str">
        <f t="shared" si="3"/>
        <v>VU-Vanuatu</v>
      </c>
    </row>
    <row r="246" spans="11:13">
      <c r="K246" s="10" t="s">
        <v>602</v>
      </c>
      <c r="L246" s="12" t="s">
        <v>603</v>
      </c>
      <c r="M246" s="13" t="str">
        <f t="shared" si="3"/>
        <v>WF-Wallis and Futuna</v>
      </c>
    </row>
    <row r="247" spans="11:13">
      <c r="K247" s="10" t="s">
        <v>604</v>
      </c>
      <c r="L247" s="12" t="s">
        <v>605</v>
      </c>
      <c r="M247" s="13" t="str">
        <f t="shared" si="3"/>
        <v>WS-Samoa</v>
      </c>
    </row>
    <row r="248" spans="11:13">
      <c r="K248" s="10" t="s">
        <v>606</v>
      </c>
      <c r="L248" s="12" t="s">
        <v>607</v>
      </c>
      <c r="M248" s="13" t="str">
        <f t="shared" si="3"/>
        <v>YE-Yemen</v>
      </c>
    </row>
    <row r="249" spans="11:13">
      <c r="K249" s="10" t="s">
        <v>608</v>
      </c>
      <c r="L249" s="12" t="s">
        <v>609</v>
      </c>
      <c r="M249" s="13" t="str">
        <f t="shared" si="3"/>
        <v>YT-Mayotte</v>
      </c>
    </row>
    <row r="250" spans="11:13">
      <c r="K250" s="10" t="s">
        <v>610</v>
      </c>
      <c r="L250" s="12" t="s">
        <v>611</v>
      </c>
      <c r="M250" s="13" t="str">
        <f t="shared" si="3"/>
        <v>ZA-South Africa</v>
      </c>
    </row>
    <row r="251" spans="11:13">
      <c r="K251" s="10" t="s">
        <v>612</v>
      </c>
      <c r="L251" s="12" t="s">
        <v>613</v>
      </c>
      <c r="M251" s="13" t="str">
        <f t="shared" si="3"/>
        <v>ZM-Zambia</v>
      </c>
    </row>
    <row r="252" spans="11:13">
      <c r="K252" s="11" t="s">
        <v>614</v>
      </c>
      <c r="L252" s="14" t="s">
        <v>615</v>
      </c>
      <c r="M252" s="15" t="str">
        <f t="shared" si="3"/>
        <v>ZW-Zimbabwe</v>
      </c>
    </row>
  </sheetData>
  <mergeCells count="2">
    <mergeCell ref="K3:M3"/>
    <mergeCell ref="W3:X3"/>
  </mergeCells>
  <pageMargins left="0.7" right="0.7" top="0.75" bottom="0.75" header="0.3" footer="0.3"/>
  <pageSetup paperSize="9" orientation="portrait"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885226-588F-4FFC-9256-3B3B6208EC3F}">
  <sheetPr codeName="Feuil37"/>
  <dimension ref="A1:B3954"/>
  <sheetViews>
    <sheetView workbookViewId="0"/>
  </sheetViews>
  <sheetFormatPr baseColWidth="10" defaultRowHeight="15"/>
  <cols>
    <col min="1" max="1" width="38.140625" customWidth="1"/>
    <col min="2" max="2" width="36.7109375" customWidth="1"/>
  </cols>
  <sheetData>
    <row r="1" spans="1:2">
      <c r="A1" s="3" t="s">
        <v>874</v>
      </c>
      <c r="B1" s="3" t="s">
        <v>875</v>
      </c>
    </row>
    <row r="2" spans="1:2">
      <c r="A2" s="3" t="s">
        <v>876</v>
      </c>
      <c r="B2" s="3" t="s">
        <v>877</v>
      </c>
    </row>
    <row r="3" spans="1:2">
      <c r="A3" s="3" t="s">
        <v>878</v>
      </c>
      <c r="B3" s="3" t="s">
        <v>879</v>
      </c>
    </row>
    <row r="4" spans="1:2">
      <c r="A4" s="3" t="s">
        <v>880</v>
      </c>
      <c r="B4" s="3" t="s">
        <v>881</v>
      </c>
    </row>
    <row r="5" spans="1:2">
      <c r="A5" s="3" t="s">
        <v>882</v>
      </c>
      <c r="B5" s="3" t="s">
        <v>883</v>
      </c>
    </row>
    <row r="6" spans="1:2">
      <c r="A6" s="3" t="s">
        <v>884</v>
      </c>
      <c r="B6" s="3" t="s">
        <v>885</v>
      </c>
    </row>
    <row r="7" spans="1:2">
      <c r="A7" s="3" t="s">
        <v>886</v>
      </c>
      <c r="B7" s="3" t="s">
        <v>887</v>
      </c>
    </row>
    <row r="8" spans="1:2">
      <c r="A8" s="3" t="s">
        <v>888</v>
      </c>
      <c r="B8" s="3" t="s">
        <v>889</v>
      </c>
    </row>
    <row r="9" spans="1:2">
      <c r="A9" s="3" t="s">
        <v>890</v>
      </c>
      <c r="B9" s="3" t="s">
        <v>891</v>
      </c>
    </row>
    <row r="10" spans="1:2">
      <c r="A10" s="3" t="s">
        <v>892</v>
      </c>
      <c r="B10" s="3" t="s">
        <v>893</v>
      </c>
    </row>
    <row r="11" spans="1:2">
      <c r="A11" s="3" t="s">
        <v>894</v>
      </c>
      <c r="B11" s="3" t="s">
        <v>895</v>
      </c>
    </row>
    <row r="12" spans="1:2">
      <c r="A12" s="3" t="s">
        <v>896</v>
      </c>
      <c r="B12" s="3" t="s">
        <v>897</v>
      </c>
    </row>
    <row r="13" spans="1:2">
      <c r="A13" s="3" t="s">
        <v>898</v>
      </c>
      <c r="B13" s="3" t="s">
        <v>899</v>
      </c>
    </row>
    <row r="14" spans="1:2">
      <c r="A14" s="3" t="s">
        <v>900</v>
      </c>
      <c r="B14" s="3" t="s">
        <v>901</v>
      </c>
    </row>
    <row r="15" spans="1:2">
      <c r="A15" s="3" t="s">
        <v>902</v>
      </c>
      <c r="B15" s="3" t="s">
        <v>903</v>
      </c>
    </row>
    <row r="16" spans="1:2">
      <c r="A16" s="3" t="s">
        <v>904</v>
      </c>
      <c r="B16" s="3" t="s">
        <v>905</v>
      </c>
    </row>
    <row r="17" spans="1:2">
      <c r="A17" s="3" t="s">
        <v>906</v>
      </c>
      <c r="B17" s="3" t="s">
        <v>907</v>
      </c>
    </row>
    <row r="18" spans="1:2">
      <c r="A18" s="3" t="s">
        <v>908</v>
      </c>
      <c r="B18" s="3" t="s">
        <v>909</v>
      </c>
    </row>
    <row r="19" spans="1:2">
      <c r="A19" s="3" t="s">
        <v>910</v>
      </c>
      <c r="B19" s="3" t="s">
        <v>911</v>
      </c>
    </row>
    <row r="20" spans="1:2">
      <c r="A20" s="3" t="s">
        <v>912</v>
      </c>
      <c r="B20" s="3" t="s">
        <v>913</v>
      </c>
    </row>
    <row r="21" spans="1:2">
      <c r="A21" s="3" t="s">
        <v>914</v>
      </c>
      <c r="B21" s="3" t="s">
        <v>915</v>
      </c>
    </row>
    <row r="22" spans="1:2">
      <c r="A22" s="3" t="s">
        <v>916</v>
      </c>
      <c r="B22" s="3" t="s">
        <v>917</v>
      </c>
    </row>
    <row r="23" spans="1:2">
      <c r="A23" s="3" t="s">
        <v>918</v>
      </c>
      <c r="B23" s="3" t="s">
        <v>919</v>
      </c>
    </row>
    <row r="24" spans="1:2">
      <c r="A24" s="3" t="s">
        <v>920</v>
      </c>
      <c r="B24" s="3" t="s">
        <v>921</v>
      </c>
    </row>
    <row r="25" spans="1:2">
      <c r="A25" s="3" t="s">
        <v>922</v>
      </c>
      <c r="B25" s="3" t="s">
        <v>923</v>
      </c>
    </row>
    <row r="26" spans="1:2">
      <c r="A26" s="3" t="s">
        <v>924</v>
      </c>
      <c r="B26" s="3" t="s">
        <v>925</v>
      </c>
    </row>
    <row r="27" spans="1:2">
      <c r="A27" s="3" t="s">
        <v>926</v>
      </c>
      <c r="B27" s="3" t="s">
        <v>927</v>
      </c>
    </row>
    <row r="28" spans="1:2">
      <c r="A28" s="3" t="s">
        <v>928</v>
      </c>
      <c r="B28" s="3" t="s">
        <v>929</v>
      </c>
    </row>
    <row r="29" spans="1:2">
      <c r="A29" s="3" t="s">
        <v>930</v>
      </c>
      <c r="B29" s="3" t="s">
        <v>931</v>
      </c>
    </row>
    <row r="30" spans="1:2">
      <c r="A30" s="3" t="s">
        <v>932</v>
      </c>
      <c r="B30" s="3" t="s">
        <v>933</v>
      </c>
    </row>
    <row r="31" spans="1:2">
      <c r="A31" s="3" t="s">
        <v>934</v>
      </c>
      <c r="B31" s="3" t="s">
        <v>935</v>
      </c>
    </row>
    <row r="32" spans="1:2">
      <c r="A32" s="3" t="s">
        <v>936</v>
      </c>
      <c r="B32" s="3" t="s">
        <v>937</v>
      </c>
    </row>
    <row r="33" spans="1:2">
      <c r="A33" s="3" t="s">
        <v>938</v>
      </c>
      <c r="B33" s="3" t="s">
        <v>939</v>
      </c>
    </row>
    <row r="34" spans="1:2">
      <c r="A34" s="3" t="s">
        <v>940</v>
      </c>
      <c r="B34" s="3" t="s">
        <v>941</v>
      </c>
    </row>
    <row r="35" spans="1:2">
      <c r="A35" s="3" t="s">
        <v>942</v>
      </c>
      <c r="B35" s="3" t="s">
        <v>943</v>
      </c>
    </row>
    <row r="36" spans="1:2">
      <c r="A36" s="3" t="s">
        <v>944</v>
      </c>
      <c r="B36" s="3" t="s">
        <v>945</v>
      </c>
    </row>
    <row r="37" spans="1:2">
      <c r="A37" s="3" t="s">
        <v>946</v>
      </c>
      <c r="B37" s="3" t="s">
        <v>947</v>
      </c>
    </row>
    <row r="38" spans="1:2">
      <c r="A38" s="3" t="s">
        <v>948</v>
      </c>
      <c r="B38" s="3" t="s">
        <v>949</v>
      </c>
    </row>
    <row r="39" spans="1:2">
      <c r="A39" s="3" t="s">
        <v>950</v>
      </c>
      <c r="B39" s="3" t="s">
        <v>951</v>
      </c>
    </row>
    <row r="40" spans="1:2">
      <c r="A40" s="3" t="s">
        <v>952</v>
      </c>
      <c r="B40" s="3" t="s">
        <v>953</v>
      </c>
    </row>
    <row r="41" spans="1:2">
      <c r="A41" s="3" t="s">
        <v>954</v>
      </c>
      <c r="B41" s="3" t="s">
        <v>955</v>
      </c>
    </row>
    <row r="42" spans="1:2">
      <c r="A42" s="3" t="s">
        <v>956</v>
      </c>
      <c r="B42" s="3" t="s">
        <v>957</v>
      </c>
    </row>
    <row r="43" spans="1:2">
      <c r="A43" s="3" t="s">
        <v>958</v>
      </c>
      <c r="B43" s="3" t="s">
        <v>959</v>
      </c>
    </row>
    <row r="44" spans="1:2">
      <c r="A44" s="3" t="s">
        <v>960</v>
      </c>
      <c r="B44" s="3" t="s">
        <v>961</v>
      </c>
    </row>
    <row r="45" spans="1:2">
      <c r="A45" s="3" t="s">
        <v>962</v>
      </c>
      <c r="B45" s="3" t="s">
        <v>963</v>
      </c>
    </row>
    <row r="46" spans="1:2">
      <c r="A46" s="3" t="s">
        <v>964</v>
      </c>
      <c r="B46" s="3" t="s">
        <v>965</v>
      </c>
    </row>
    <row r="47" spans="1:2">
      <c r="A47" s="3" t="s">
        <v>966</v>
      </c>
      <c r="B47" s="3" t="s">
        <v>967</v>
      </c>
    </row>
    <row r="48" spans="1:2">
      <c r="A48" s="3" t="s">
        <v>968</v>
      </c>
      <c r="B48" s="3" t="s">
        <v>969</v>
      </c>
    </row>
    <row r="49" spans="1:2">
      <c r="A49" s="3" t="s">
        <v>970</v>
      </c>
      <c r="B49" s="3" t="s">
        <v>971</v>
      </c>
    </row>
    <row r="50" spans="1:2">
      <c r="A50" s="3" t="s">
        <v>972</v>
      </c>
      <c r="B50" s="3" t="s">
        <v>973</v>
      </c>
    </row>
    <row r="51" spans="1:2">
      <c r="A51" s="3" t="s">
        <v>974</v>
      </c>
      <c r="B51" s="3" t="s">
        <v>975</v>
      </c>
    </row>
    <row r="52" spans="1:2">
      <c r="A52" s="3" t="s">
        <v>976</v>
      </c>
      <c r="B52" s="3" t="s">
        <v>977</v>
      </c>
    </row>
    <row r="53" spans="1:2">
      <c r="A53" s="3" t="s">
        <v>978</v>
      </c>
      <c r="B53" s="3" t="s">
        <v>979</v>
      </c>
    </row>
    <row r="54" spans="1:2">
      <c r="A54" s="3" t="s">
        <v>980</v>
      </c>
      <c r="B54" s="3" t="s">
        <v>981</v>
      </c>
    </row>
    <row r="55" spans="1:2">
      <c r="A55" s="3" t="s">
        <v>982</v>
      </c>
      <c r="B55" s="3" t="s">
        <v>983</v>
      </c>
    </row>
    <row r="56" spans="1:2">
      <c r="A56" s="3" t="s">
        <v>984</v>
      </c>
      <c r="B56" s="3" t="s">
        <v>985</v>
      </c>
    </row>
    <row r="57" spans="1:2">
      <c r="A57" s="3" t="s">
        <v>986</v>
      </c>
      <c r="B57" s="3" t="s">
        <v>987</v>
      </c>
    </row>
    <row r="58" spans="1:2">
      <c r="A58" s="3" t="s">
        <v>988</v>
      </c>
      <c r="B58" s="3" t="s">
        <v>989</v>
      </c>
    </row>
    <row r="59" spans="1:2">
      <c r="A59" s="3" t="s">
        <v>990</v>
      </c>
      <c r="B59" s="3" t="s">
        <v>991</v>
      </c>
    </row>
    <row r="60" spans="1:2">
      <c r="A60" s="3" t="s">
        <v>992</v>
      </c>
      <c r="B60" s="3" t="s">
        <v>993</v>
      </c>
    </row>
    <row r="61" spans="1:2">
      <c r="A61" s="3" t="s">
        <v>994</v>
      </c>
      <c r="B61" s="3" t="s">
        <v>995</v>
      </c>
    </row>
    <row r="62" spans="1:2">
      <c r="A62" s="3" t="s">
        <v>996</v>
      </c>
      <c r="B62" s="3" t="s">
        <v>997</v>
      </c>
    </row>
    <row r="63" spans="1:2">
      <c r="A63" s="3" t="s">
        <v>998</v>
      </c>
      <c r="B63" s="3" t="s">
        <v>999</v>
      </c>
    </row>
    <row r="64" spans="1:2">
      <c r="A64" s="3" t="s">
        <v>1000</v>
      </c>
      <c r="B64" s="3" t="s">
        <v>1001</v>
      </c>
    </row>
    <row r="65" spans="1:2">
      <c r="A65" s="3" t="s">
        <v>1002</v>
      </c>
      <c r="B65" s="3" t="s">
        <v>1003</v>
      </c>
    </row>
    <row r="66" spans="1:2">
      <c r="A66" s="3" t="s">
        <v>1004</v>
      </c>
      <c r="B66" s="3" t="s">
        <v>1005</v>
      </c>
    </row>
    <row r="67" spans="1:2">
      <c r="A67" s="3" t="s">
        <v>1006</v>
      </c>
      <c r="B67" s="3" t="s">
        <v>1007</v>
      </c>
    </row>
    <row r="68" spans="1:2">
      <c r="A68" s="3" t="s">
        <v>1008</v>
      </c>
      <c r="B68" s="3" t="s">
        <v>1009</v>
      </c>
    </row>
    <row r="69" spans="1:2">
      <c r="A69" s="3" t="s">
        <v>1010</v>
      </c>
      <c r="B69" s="3" t="s">
        <v>1011</v>
      </c>
    </row>
    <row r="70" spans="1:2">
      <c r="A70" s="3" t="s">
        <v>1012</v>
      </c>
      <c r="B70" s="3" t="s">
        <v>1013</v>
      </c>
    </row>
    <row r="71" spans="1:2">
      <c r="A71" s="3" t="s">
        <v>1014</v>
      </c>
      <c r="B71" s="3" t="s">
        <v>1015</v>
      </c>
    </row>
    <row r="72" spans="1:2">
      <c r="A72" s="3" t="s">
        <v>1016</v>
      </c>
      <c r="B72" s="3" t="s">
        <v>1017</v>
      </c>
    </row>
    <row r="73" spans="1:2">
      <c r="A73" s="3" t="s">
        <v>1018</v>
      </c>
      <c r="B73" s="3" t="s">
        <v>1019</v>
      </c>
    </row>
    <row r="74" spans="1:2">
      <c r="A74" s="3" t="s">
        <v>1020</v>
      </c>
      <c r="B74" s="3" t="s">
        <v>1021</v>
      </c>
    </row>
    <row r="75" spans="1:2">
      <c r="A75" s="3" t="s">
        <v>1022</v>
      </c>
      <c r="B75" s="3" t="s">
        <v>1023</v>
      </c>
    </row>
    <row r="76" spans="1:2">
      <c r="A76" s="3" t="s">
        <v>1024</v>
      </c>
      <c r="B76" s="3" t="s">
        <v>1025</v>
      </c>
    </row>
    <row r="77" spans="1:2">
      <c r="A77" s="3" t="s">
        <v>1026</v>
      </c>
      <c r="B77" s="3" t="s">
        <v>1027</v>
      </c>
    </row>
    <row r="78" spans="1:2">
      <c r="A78" s="3" t="s">
        <v>1028</v>
      </c>
      <c r="B78" s="3" t="s">
        <v>1029</v>
      </c>
    </row>
    <row r="79" spans="1:2">
      <c r="A79" s="3" t="s">
        <v>1030</v>
      </c>
      <c r="B79" s="3" t="s">
        <v>1031</v>
      </c>
    </row>
    <row r="80" spans="1:2">
      <c r="A80" s="3" t="s">
        <v>1032</v>
      </c>
      <c r="B80" s="3" t="s">
        <v>1033</v>
      </c>
    </row>
    <row r="81" spans="1:2">
      <c r="A81" s="3" t="s">
        <v>1034</v>
      </c>
      <c r="B81" s="3" t="s">
        <v>1035</v>
      </c>
    </row>
    <row r="82" spans="1:2">
      <c r="A82" s="3" t="s">
        <v>1036</v>
      </c>
      <c r="B82" s="3" t="s">
        <v>1037</v>
      </c>
    </row>
    <row r="83" spans="1:2">
      <c r="A83" s="3" t="s">
        <v>1038</v>
      </c>
      <c r="B83" s="3" t="s">
        <v>1039</v>
      </c>
    </row>
    <row r="84" spans="1:2">
      <c r="A84" s="3" t="s">
        <v>1040</v>
      </c>
      <c r="B84" s="3" t="s">
        <v>1041</v>
      </c>
    </row>
    <row r="85" spans="1:2">
      <c r="A85" s="3" t="s">
        <v>1042</v>
      </c>
      <c r="B85" s="3" t="s">
        <v>1043</v>
      </c>
    </row>
    <row r="86" spans="1:2">
      <c r="A86" s="3" t="s">
        <v>1044</v>
      </c>
      <c r="B86" s="3" t="s">
        <v>1045</v>
      </c>
    </row>
    <row r="87" spans="1:2">
      <c r="A87" s="3" t="s">
        <v>1046</v>
      </c>
      <c r="B87" s="3" t="s">
        <v>1047</v>
      </c>
    </row>
    <row r="88" spans="1:2">
      <c r="A88" s="3" t="s">
        <v>1048</v>
      </c>
      <c r="B88" s="3" t="s">
        <v>1049</v>
      </c>
    </row>
    <row r="89" spans="1:2">
      <c r="A89" s="3" t="s">
        <v>1050</v>
      </c>
      <c r="B89" s="3" t="s">
        <v>1051</v>
      </c>
    </row>
    <row r="90" spans="1:2">
      <c r="A90" s="3" t="s">
        <v>1052</v>
      </c>
      <c r="B90" s="3" t="s">
        <v>1053</v>
      </c>
    </row>
    <row r="91" spans="1:2">
      <c r="A91" s="3" t="s">
        <v>1054</v>
      </c>
      <c r="B91" s="3" t="s">
        <v>1055</v>
      </c>
    </row>
    <row r="92" spans="1:2">
      <c r="A92" s="3" t="s">
        <v>1056</v>
      </c>
      <c r="B92" s="3" t="s">
        <v>1057</v>
      </c>
    </row>
    <row r="93" spans="1:2">
      <c r="A93" s="3" t="s">
        <v>1058</v>
      </c>
      <c r="B93" s="3" t="s">
        <v>1059</v>
      </c>
    </row>
    <row r="94" spans="1:2">
      <c r="A94" s="3" t="s">
        <v>1060</v>
      </c>
      <c r="B94" s="3" t="s">
        <v>1061</v>
      </c>
    </row>
    <row r="95" spans="1:2">
      <c r="A95" s="3" t="s">
        <v>1062</v>
      </c>
      <c r="B95" s="3" t="s">
        <v>1063</v>
      </c>
    </row>
    <row r="96" spans="1:2">
      <c r="A96" s="3" t="s">
        <v>1064</v>
      </c>
      <c r="B96" s="3" t="s">
        <v>1065</v>
      </c>
    </row>
    <row r="97" spans="1:2">
      <c r="A97" s="3" t="s">
        <v>1066</v>
      </c>
      <c r="B97" s="3" t="s">
        <v>1067</v>
      </c>
    </row>
    <row r="98" spans="1:2">
      <c r="A98" s="3" t="s">
        <v>1068</v>
      </c>
      <c r="B98" s="3" t="s">
        <v>1069</v>
      </c>
    </row>
    <row r="99" spans="1:2">
      <c r="A99" s="3" t="s">
        <v>1070</v>
      </c>
      <c r="B99" s="3" t="s">
        <v>1071</v>
      </c>
    </row>
    <row r="100" spans="1:2">
      <c r="A100" s="3" t="s">
        <v>1072</v>
      </c>
      <c r="B100" s="3" t="s">
        <v>1073</v>
      </c>
    </row>
    <row r="101" spans="1:2">
      <c r="A101" s="3" t="s">
        <v>1074</v>
      </c>
      <c r="B101" s="3" t="s">
        <v>1075</v>
      </c>
    </row>
    <row r="102" spans="1:2">
      <c r="A102" s="3" t="s">
        <v>1076</v>
      </c>
      <c r="B102" s="3" t="s">
        <v>1077</v>
      </c>
    </row>
    <row r="103" spans="1:2">
      <c r="A103" s="3" t="s">
        <v>1078</v>
      </c>
      <c r="B103" s="3" t="s">
        <v>1079</v>
      </c>
    </row>
    <row r="104" spans="1:2">
      <c r="A104" s="3" t="s">
        <v>1080</v>
      </c>
      <c r="B104" s="3" t="s">
        <v>1081</v>
      </c>
    </row>
    <row r="105" spans="1:2">
      <c r="A105" s="3" t="s">
        <v>1082</v>
      </c>
      <c r="B105" s="3" t="s">
        <v>1083</v>
      </c>
    </row>
    <row r="106" spans="1:2">
      <c r="A106" s="3" t="s">
        <v>1084</v>
      </c>
      <c r="B106" s="3" t="s">
        <v>1085</v>
      </c>
    </row>
    <row r="107" spans="1:2">
      <c r="A107" s="3" t="s">
        <v>1086</v>
      </c>
      <c r="B107" s="3" t="s">
        <v>1087</v>
      </c>
    </row>
    <row r="108" spans="1:2">
      <c r="A108" s="3" t="s">
        <v>1088</v>
      </c>
      <c r="B108" s="3" t="s">
        <v>1089</v>
      </c>
    </row>
    <row r="109" spans="1:2">
      <c r="A109" s="3" t="s">
        <v>1090</v>
      </c>
      <c r="B109" s="3" t="s">
        <v>1091</v>
      </c>
    </row>
    <row r="110" spans="1:2">
      <c r="A110" s="3" t="s">
        <v>1092</v>
      </c>
      <c r="B110" s="3" t="s">
        <v>1093</v>
      </c>
    </row>
    <row r="111" spans="1:2">
      <c r="A111" s="3" t="s">
        <v>1094</v>
      </c>
      <c r="B111" s="3" t="s">
        <v>1095</v>
      </c>
    </row>
    <row r="112" spans="1:2">
      <c r="A112" s="3" t="s">
        <v>1096</v>
      </c>
      <c r="B112" s="3" t="s">
        <v>1097</v>
      </c>
    </row>
    <row r="113" spans="1:2">
      <c r="A113" s="3" t="s">
        <v>1098</v>
      </c>
      <c r="B113" s="3" t="s">
        <v>1099</v>
      </c>
    </row>
    <row r="114" spans="1:2">
      <c r="A114" s="3" t="s">
        <v>1100</v>
      </c>
      <c r="B114" s="3" t="s">
        <v>1101</v>
      </c>
    </row>
    <row r="115" spans="1:2">
      <c r="A115" s="3" t="s">
        <v>1102</v>
      </c>
      <c r="B115" s="3" t="s">
        <v>1103</v>
      </c>
    </row>
    <row r="116" spans="1:2">
      <c r="A116" s="3" t="s">
        <v>1104</v>
      </c>
      <c r="B116" s="3" t="s">
        <v>1105</v>
      </c>
    </row>
    <row r="117" spans="1:2">
      <c r="A117" s="3" t="s">
        <v>1106</v>
      </c>
      <c r="B117" s="3" t="s">
        <v>1107</v>
      </c>
    </row>
    <row r="118" spans="1:2">
      <c r="A118" s="3" t="s">
        <v>1108</v>
      </c>
      <c r="B118" s="3" t="s">
        <v>1109</v>
      </c>
    </row>
    <row r="119" spans="1:2">
      <c r="A119" s="3" t="s">
        <v>1110</v>
      </c>
      <c r="B119" s="3" t="s">
        <v>1111</v>
      </c>
    </row>
    <row r="120" spans="1:2">
      <c r="A120" s="3" t="s">
        <v>1112</v>
      </c>
      <c r="B120" s="3" t="s">
        <v>1113</v>
      </c>
    </row>
    <row r="121" spans="1:2">
      <c r="A121" s="3" t="s">
        <v>1114</v>
      </c>
      <c r="B121" s="3" t="s">
        <v>1115</v>
      </c>
    </row>
    <row r="122" spans="1:2">
      <c r="A122" s="3" t="s">
        <v>1116</v>
      </c>
      <c r="B122" s="3" t="s">
        <v>1117</v>
      </c>
    </row>
    <row r="123" spans="1:2">
      <c r="A123" s="3" t="s">
        <v>1118</v>
      </c>
      <c r="B123" s="3" t="s">
        <v>1119</v>
      </c>
    </row>
    <row r="124" spans="1:2">
      <c r="A124" s="3" t="s">
        <v>1120</v>
      </c>
      <c r="B124" s="3" t="s">
        <v>1121</v>
      </c>
    </row>
    <row r="125" spans="1:2">
      <c r="A125" s="3" t="s">
        <v>1122</v>
      </c>
      <c r="B125" s="3" t="s">
        <v>1123</v>
      </c>
    </row>
    <row r="126" spans="1:2">
      <c r="A126" s="3" t="s">
        <v>1124</v>
      </c>
      <c r="B126" s="3" t="s">
        <v>1125</v>
      </c>
    </row>
    <row r="127" spans="1:2">
      <c r="A127" s="3" t="s">
        <v>1126</v>
      </c>
      <c r="B127" s="3" t="s">
        <v>1127</v>
      </c>
    </row>
    <row r="128" spans="1:2">
      <c r="A128" s="3" t="s">
        <v>1128</v>
      </c>
      <c r="B128" s="3" t="s">
        <v>1129</v>
      </c>
    </row>
    <row r="129" spans="1:2">
      <c r="A129" s="3" t="s">
        <v>1130</v>
      </c>
      <c r="B129" s="3" t="s">
        <v>1131</v>
      </c>
    </row>
    <row r="130" spans="1:2">
      <c r="A130" s="3" t="s">
        <v>1132</v>
      </c>
      <c r="B130" s="3" t="s">
        <v>1133</v>
      </c>
    </row>
    <row r="131" spans="1:2">
      <c r="A131" s="3" t="s">
        <v>1134</v>
      </c>
      <c r="B131" s="3" t="s">
        <v>1135</v>
      </c>
    </row>
    <row r="132" spans="1:2">
      <c r="A132" s="3" t="s">
        <v>1136</v>
      </c>
      <c r="B132" s="3" t="s">
        <v>1137</v>
      </c>
    </row>
    <row r="133" spans="1:2">
      <c r="A133" s="3" t="s">
        <v>1138</v>
      </c>
      <c r="B133" s="3" t="s">
        <v>1139</v>
      </c>
    </row>
    <row r="134" spans="1:2">
      <c r="A134" s="3" t="s">
        <v>1140</v>
      </c>
      <c r="B134" s="3" t="s">
        <v>1141</v>
      </c>
    </row>
    <row r="135" spans="1:2">
      <c r="A135" s="3" t="s">
        <v>1142</v>
      </c>
      <c r="B135" s="3" t="s">
        <v>1143</v>
      </c>
    </row>
    <row r="136" spans="1:2">
      <c r="A136" s="3" t="s">
        <v>1144</v>
      </c>
      <c r="B136" s="3" t="s">
        <v>1145</v>
      </c>
    </row>
    <row r="137" spans="1:2">
      <c r="A137" s="3" t="s">
        <v>1146</v>
      </c>
      <c r="B137" s="3" t="s">
        <v>1147</v>
      </c>
    </row>
    <row r="138" spans="1:2">
      <c r="A138" s="3" t="s">
        <v>1148</v>
      </c>
      <c r="B138" s="3" t="s">
        <v>1149</v>
      </c>
    </row>
    <row r="139" spans="1:2">
      <c r="A139" s="3" t="s">
        <v>1150</v>
      </c>
      <c r="B139" s="3" t="s">
        <v>1151</v>
      </c>
    </row>
    <row r="140" spans="1:2">
      <c r="A140" s="3" t="s">
        <v>1152</v>
      </c>
      <c r="B140" s="3" t="s">
        <v>1153</v>
      </c>
    </row>
    <row r="141" spans="1:2">
      <c r="A141" s="3" t="s">
        <v>1154</v>
      </c>
      <c r="B141" s="3" t="s">
        <v>1155</v>
      </c>
    </row>
    <row r="142" spans="1:2">
      <c r="A142" s="3" t="s">
        <v>1156</v>
      </c>
      <c r="B142" s="3" t="s">
        <v>1157</v>
      </c>
    </row>
    <row r="143" spans="1:2">
      <c r="A143" s="3" t="s">
        <v>1158</v>
      </c>
      <c r="B143" s="3" t="s">
        <v>1159</v>
      </c>
    </row>
    <row r="144" spans="1:2">
      <c r="A144" s="3" t="s">
        <v>1160</v>
      </c>
      <c r="B144" s="3" t="s">
        <v>1161</v>
      </c>
    </row>
    <row r="145" spans="1:2">
      <c r="A145" s="3" t="s">
        <v>1162</v>
      </c>
      <c r="B145" s="3" t="s">
        <v>1163</v>
      </c>
    </row>
    <row r="146" spans="1:2">
      <c r="A146" s="3" t="s">
        <v>1164</v>
      </c>
      <c r="B146" s="3" t="s">
        <v>1165</v>
      </c>
    </row>
    <row r="147" spans="1:2">
      <c r="A147" s="3" t="s">
        <v>1166</v>
      </c>
      <c r="B147" s="3" t="s">
        <v>1167</v>
      </c>
    </row>
    <row r="148" spans="1:2">
      <c r="A148" s="3" t="s">
        <v>1168</v>
      </c>
      <c r="B148" s="3" t="s">
        <v>1169</v>
      </c>
    </row>
    <row r="149" spans="1:2">
      <c r="A149" s="3" t="s">
        <v>1170</v>
      </c>
      <c r="B149" s="3" t="s">
        <v>1171</v>
      </c>
    </row>
    <row r="150" spans="1:2">
      <c r="A150" s="3" t="s">
        <v>1172</v>
      </c>
      <c r="B150" s="3" t="s">
        <v>1173</v>
      </c>
    </row>
    <row r="151" spans="1:2">
      <c r="A151" s="3" t="s">
        <v>1174</v>
      </c>
      <c r="B151" s="3" t="s">
        <v>1175</v>
      </c>
    </row>
    <row r="152" spans="1:2">
      <c r="A152" s="3" t="s">
        <v>1176</v>
      </c>
      <c r="B152" s="3" t="s">
        <v>1177</v>
      </c>
    </row>
    <row r="153" spans="1:2">
      <c r="A153" s="3" t="s">
        <v>1178</v>
      </c>
      <c r="B153" s="3" t="s">
        <v>1179</v>
      </c>
    </row>
    <row r="154" spans="1:2">
      <c r="A154" s="3" t="s">
        <v>1180</v>
      </c>
      <c r="B154" s="3" t="s">
        <v>1181</v>
      </c>
    </row>
    <row r="155" spans="1:2">
      <c r="A155" s="3" t="s">
        <v>1182</v>
      </c>
      <c r="B155" s="3" t="s">
        <v>1183</v>
      </c>
    </row>
    <row r="156" spans="1:2">
      <c r="A156" s="3" t="s">
        <v>1184</v>
      </c>
      <c r="B156" s="3" t="s">
        <v>1185</v>
      </c>
    </row>
    <row r="157" spans="1:2">
      <c r="A157" s="3" t="s">
        <v>1186</v>
      </c>
      <c r="B157" s="3" t="s">
        <v>1187</v>
      </c>
    </row>
    <row r="158" spans="1:2">
      <c r="A158" s="3" t="s">
        <v>1188</v>
      </c>
      <c r="B158" s="3" t="s">
        <v>1189</v>
      </c>
    </row>
    <row r="159" spans="1:2">
      <c r="A159" s="3" t="s">
        <v>1190</v>
      </c>
      <c r="B159" s="3" t="s">
        <v>1191</v>
      </c>
    </row>
    <row r="160" spans="1:2">
      <c r="A160" s="3" t="s">
        <v>1192</v>
      </c>
      <c r="B160" s="3" t="s">
        <v>1193</v>
      </c>
    </row>
    <row r="161" spans="1:2">
      <c r="A161" s="3" t="s">
        <v>1194</v>
      </c>
      <c r="B161" s="3" t="s">
        <v>1195</v>
      </c>
    </row>
    <row r="162" spans="1:2">
      <c r="A162" s="3" t="s">
        <v>1196</v>
      </c>
      <c r="B162" s="3" t="s">
        <v>1197</v>
      </c>
    </row>
    <row r="163" spans="1:2">
      <c r="A163" s="3" t="s">
        <v>1198</v>
      </c>
      <c r="B163" s="3" t="s">
        <v>1199</v>
      </c>
    </row>
    <row r="164" spans="1:2">
      <c r="A164" s="3" t="s">
        <v>1200</v>
      </c>
      <c r="B164" s="3" t="s">
        <v>1201</v>
      </c>
    </row>
    <row r="165" spans="1:2">
      <c r="A165" s="3" t="s">
        <v>1202</v>
      </c>
      <c r="B165" s="3" t="s">
        <v>1203</v>
      </c>
    </row>
    <row r="166" spans="1:2">
      <c r="A166" s="3" t="s">
        <v>1204</v>
      </c>
      <c r="B166" s="3" t="s">
        <v>1205</v>
      </c>
    </row>
    <row r="167" spans="1:2">
      <c r="A167" s="3" t="s">
        <v>1206</v>
      </c>
      <c r="B167" s="3" t="s">
        <v>1207</v>
      </c>
    </row>
    <row r="168" spans="1:2">
      <c r="A168" s="3" t="s">
        <v>1208</v>
      </c>
      <c r="B168" s="3" t="s">
        <v>1209</v>
      </c>
    </row>
    <row r="169" spans="1:2">
      <c r="A169" s="3" t="s">
        <v>1210</v>
      </c>
      <c r="B169" s="3" t="s">
        <v>1211</v>
      </c>
    </row>
    <row r="170" spans="1:2">
      <c r="A170" s="3" t="s">
        <v>1212</v>
      </c>
      <c r="B170" s="3" t="s">
        <v>1213</v>
      </c>
    </row>
    <row r="171" spans="1:2">
      <c r="A171" s="3" t="s">
        <v>1214</v>
      </c>
      <c r="B171" s="3" t="s">
        <v>1215</v>
      </c>
    </row>
    <row r="172" spans="1:2">
      <c r="A172" s="3" t="s">
        <v>1216</v>
      </c>
      <c r="B172" s="3" t="s">
        <v>1217</v>
      </c>
    </row>
    <row r="173" spans="1:2">
      <c r="A173" s="3" t="s">
        <v>1218</v>
      </c>
      <c r="B173" s="3" t="s">
        <v>1219</v>
      </c>
    </row>
    <row r="174" spans="1:2">
      <c r="A174" s="3" t="s">
        <v>1220</v>
      </c>
      <c r="B174" s="3" t="s">
        <v>1221</v>
      </c>
    </row>
    <row r="175" spans="1:2">
      <c r="A175" s="3" t="s">
        <v>1222</v>
      </c>
      <c r="B175" s="3" t="s">
        <v>1223</v>
      </c>
    </row>
    <row r="176" spans="1:2">
      <c r="A176" s="3" t="s">
        <v>1224</v>
      </c>
      <c r="B176" s="3" t="s">
        <v>1225</v>
      </c>
    </row>
    <row r="177" spans="1:2">
      <c r="A177" s="3" t="s">
        <v>1226</v>
      </c>
      <c r="B177" s="3" t="s">
        <v>1227</v>
      </c>
    </row>
    <row r="178" spans="1:2">
      <c r="A178" s="3" t="s">
        <v>1228</v>
      </c>
      <c r="B178" s="3" t="s">
        <v>1229</v>
      </c>
    </row>
    <row r="179" spans="1:2">
      <c r="A179" s="3" t="s">
        <v>1230</v>
      </c>
      <c r="B179" s="3" t="s">
        <v>1231</v>
      </c>
    </row>
    <row r="180" spans="1:2">
      <c r="A180" s="3" t="s">
        <v>1232</v>
      </c>
      <c r="B180" s="3" t="s">
        <v>1233</v>
      </c>
    </row>
    <row r="181" spans="1:2">
      <c r="A181" s="3" t="s">
        <v>1234</v>
      </c>
      <c r="B181" s="3" t="s">
        <v>1235</v>
      </c>
    </row>
    <row r="182" spans="1:2">
      <c r="A182" s="3" t="s">
        <v>1236</v>
      </c>
      <c r="B182" s="3" t="s">
        <v>1237</v>
      </c>
    </row>
    <row r="183" spans="1:2">
      <c r="A183" s="3" t="s">
        <v>1238</v>
      </c>
      <c r="B183" s="3" t="s">
        <v>1239</v>
      </c>
    </row>
    <row r="184" spans="1:2">
      <c r="A184" s="3" t="s">
        <v>1240</v>
      </c>
      <c r="B184" s="3" t="s">
        <v>1241</v>
      </c>
    </row>
    <row r="185" spans="1:2">
      <c r="A185" s="3" t="s">
        <v>1242</v>
      </c>
      <c r="B185" s="3" t="s">
        <v>1243</v>
      </c>
    </row>
    <row r="186" spans="1:2">
      <c r="A186" s="3" t="s">
        <v>1244</v>
      </c>
      <c r="B186" s="3" t="s">
        <v>1245</v>
      </c>
    </row>
    <row r="187" spans="1:2">
      <c r="A187" s="3" t="s">
        <v>1246</v>
      </c>
      <c r="B187" s="3" t="s">
        <v>1247</v>
      </c>
    </row>
    <row r="188" spans="1:2">
      <c r="A188" s="3" t="s">
        <v>1248</v>
      </c>
      <c r="B188" s="3" t="s">
        <v>1249</v>
      </c>
    </row>
    <row r="189" spans="1:2">
      <c r="A189" s="3" t="s">
        <v>1250</v>
      </c>
      <c r="B189" s="3" t="s">
        <v>1251</v>
      </c>
    </row>
    <row r="190" spans="1:2">
      <c r="A190" s="3" t="s">
        <v>1252</v>
      </c>
      <c r="B190" s="3" t="s">
        <v>1253</v>
      </c>
    </row>
    <row r="191" spans="1:2">
      <c r="A191" s="3" t="s">
        <v>1254</v>
      </c>
      <c r="B191" s="3" t="s">
        <v>1255</v>
      </c>
    </row>
    <row r="192" spans="1:2">
      <c r="A192" s="3" t="s">
        <v>1256</v>
      </c>
      <c r="B192" s="3" t="s">
        <v>1257</v>
      </c>
    </row>
    <row r="193" spans="1:2">
      <c r="A193" s="3" t="s">
        <v>1258</v>
      </c>
      <c r="B193" s="3" t="s">
        <v>1259</v>
      </c>
    </row>
    <row r="194" spans="1:2">
      <c r="A194" s="3" t="s">
        <v>1260</v>
      </c>
      <c r="B194" s="3" t="s">
        <v>1261</v>
      </c>
    </row>
    <row r="195" spans="1:2">
      <c r="A195" s="3" t="s">
        <v>1262</v>
      </c>
      <c r="B195" s="3" t="s">
        <v>1263</v>
      </c>
    </row>
    <row r="196" spans="1:2">
      <c r="A196" s="3" t="s">
        <v>1264</v>
      </c>
      <c r="B196" s="3" t="s">
        <v>1265</v>
      </c>
    </row>
    <row r="197" spans="1:2">
      <c r="A197" s="3" t="s">
        <v>1266</v>
      </c>
      <c r="B197" s="3" t="s">
        <v>1267</v>
      </c>
    </row>
    <row r="198" spans="1:2">
      <c r="A198" s="3" t="s">
        <v>1268</v>
      </c>
      <c r="B198" s="3" t="s">
        <v>1269</v>
      </c>
    </row>
    <row r="199" spans="1:2">
      <c r="A199" s="3" t="s">
        <v>1270</v>
      </c>
      <c r="B199" s="3" t="s">
        <v>1271</v>
      </c>
    </row>
    <row r="200" spans="1:2">
      <c r="A200" s="3" t="s">
        <v>1272</v>
      </c>
      <c r="B200" s="3" t="s">
        <v>1273</v>
      </c>
    </row>
    <row r="201" spans="1:2">
      <c r="A201" s="3" t="s">
        <v>1274</v>
      </c>
      <c r="B201" s="3" t="s">
        <v>1275</v>
      </c>
    </row>
    <row r="202" spans="1:2">
      <c r="A202" s="3" t="s">
        <v>1276</v>
      </c>
      <c r="B202" s="3" t="s">
        <v>1277</v>
      </c>
    </row>
    <row r="203" spans="1:2">
      <c r="A203" s="3" t="s">
        <v>1278</v>
      </c>
      <c r="B203" s="3" t="s">
        <v>1279</v>
      </c>
    </row>
    <row r="204" spans="1:2">
      <c r="A204" s="3" t="s">
        <v>1280</v>
      </c>
      <c r="B204" s="3" t="s">
        <v>1281</v>
      </c>
    </row>
    <row r="205" spans="1:2">
      <c r="A205" s="3" t="s">
        <v>1282</v>
      </c>
      <c r="B205" s="3" t="s">
        <v>1283</v>
      </c>
    </row>
    <row r="206" spans="1:2">
      <c r="A206" s="3" t="s">
        <v>1284</v>
      </c>
      <c r="B206" s="3" t="s">
        <v>1285</v>
      </c>
    </row>
    <row r="207" spans="1:2">
      <c r="A207" s="3" t="s">
        <v>1286</v>
      </c>
      <c r="B207" s="3" t="s">
        <v>1287</v>
      </c>
    </row>
    <row r="208" spans="1:2">
      <c r="A208" s="3" t="s">
        <v>1288</v>
      </c>
      <c r="B208" s="3" t="s">
        <v>1289</v>
      </c>
    </row>
    <row r="209" spans="1:2">
      <c r="A209" s="3" t="s">
        <v>1290</v>
      </c>
      <c r="B209" s="3" t="s">
        <v>975</v>
      </c>
    </row>
    <row r="210" spans="1:2">
      <c r="A210" s="3" t="s">
        <v>1291</v>
      </c>
      <c r="B210" s="3" t="s">
        <v>1292</v>
      </c>
    </row>
    <row r="211" spans="1:2">
      <c r="A211" s="3" t="s">
        <v>1293</v>
      </c>
      <c r="B211" s="3" t="s">
        <v>1294</v>
      </c>
    </row>
    <row r="212" spans="1:2">
      <c r="A212" s="3" t="s">
        <v>1295</v>
      </c>
      <c r="B212" s="3" t="s">
        <v>1296</v>
      </c>
    </row>
    <row r="213" spans="1:2">
      <c r="A213" s="3" t="s">
        <v>1297</v>
      </c>
      <c r="B213" s="3" t="s">
        <v>1298</v>
      </c>
    </row>
    <row r="214" spans="1:2">
      <c r="A214" s="3" t="s">
        <v>1299</v>
      </c>
      <c r="B214" s="3" t="s">
        <v>1300</v>
      </c>
    </row>
    <row r="215" spans="1:2">
      <c r="A215" s="3" t="s">
        <v>1301</v>
      </c>
      <c r="B215" s="3" t="s">
        <v>1302</v>
      </c>
    </row>
    <row r="216" spans="1:2">
      <c r="A216" s="3" t="s">
        <v>1303</v>
      </c>
      <c r="B216" s="3" t="s">
        <v>1304</v>
      </c>
    </row>
    <row r="217" spans="1:2">
      <c r="A217" s="3" t="s">
        <v>1305</v>
      </c>
      <c r="B217" s="3" t="s">
        <v>1306</v>
      </c>
    </row>
    <row r="218" spans="1:2">
      <c r="A218" s="3" t="s">
        <v>1307</v>
      </c>
      <c r="B218" s="3" t="s">
        <v>1308</v>
      </c>
    </row>
    <row r="219" spans="1:2">
      <c r="A219" s="3" t="s">
        <v>1309</v>
      </c>
      <c r="B219" s="3" t="s">
        <v>1310</v>
      </c>
    </row>
    <row r="220" spans="1:2">
      <c r="A220" s="3" t="s">
        <v>1311</v>
      </c>
      <c r="B220" s="3" t="s">
        <v>1312</v>
      </c>
    </row>
    <row r="221" spans="1:2">
      <c r="A221" s="3" t="s">
        <v>1313</v>
      </c>
      <c r="B221" s="3" t="s">
        <v>1314</v>
      </c>
    </row>
    <row r="222" spans="1:2">
      <c r="A222" s="3" t="s">
        <v>1315</v>
      </c>
      <c r="B222" s="3" t="s">
        <v>1316</v>
      </c>
    </row>
    <row r="223" spans="1:2">
      <c r="A223" s="3" t="s">
        <v>1317</v>
      </c>
      <c r="B223" s="3" t="s">
        <v>1318</v>
      </c>
    </row>
    <row r="224" spans="1:2">
      <c r="A224" s="3" t="s">
        <v>1319</v>
      </c>
      <c r="B224" s="3" t="s">
        <v>1320</v>
      </c>
    </row>
    <row r="225" spans="1:2">
      <c r="A225" s="3" t="s">
        <v>1321</v>
      </c>
      <c r="B225" s="3" t="s">
        <v>1322</v>
      </c>
    </row>
    <row r="226" spans="1:2">
      <c r="A226" s="3" t="s">
        <v>1323</v>
      </c>
      <c r="B226" s="3" t="s">
        <v>1324</v>
      </c>
    </row>
    <row r="227" spans="1:2">
      <c r="A227" s="3" t="s">
        <v>1325</v>
      </c>
      <c r="B227" s="3" t="s">
        <v>1326</v>
      </c>
    </row>
    <row r="228" spans="1:2">
      <c r="A228" s="3" t="s">
        <v>1327</v>
      </c>
      <c r="B228" s="3" t="s">
        <v>1328</v>
      </c>
    </row>
    <row r="229" spans="1:2">
      <c r="A229" s="3" t="s">
        <v>1329</v>
      </c>
      <c r="B229" s="3" t="s">
        <v>1330</v>
      </c>
    </row>
    <row r="230" spans="1:2">
      <c r="A230" s="3" t="s">
        <v>1331</v>
      </c>
      <c r="B230" s="3" t="s">
        <v>1332</v>
      </c>
    </row>
    <row r="231" spans="1:2">
      <c r="A231" s="3" t="s">
        <v>1333</v>
      </c>
      <c r="B231" s="3" t="s">
        <v>1334</v>
      </c>
    </row>
    <row r="232" spans="1:2">
      <c r="A232" s="3" t="s">
        <v>1335</v>
      </c>
      <c r="B232" s="3" t="s">
        <v>1336</v>
      </c>
    </row>
    <row r="233" spans="1:2">
      <c r="A233" s="3" t="s">
        <v>1337</v>
      </c>
      <c r="B233" s="3" t="s">
        <v>1338</v>
      </c>
    </row>
    <row r="234" spans="1:2">
      <c r="A234" s="3" t="s">
        <v>1339</v>
      </c>
      <c r="B234" s="3" t="s">
        <v>1340</v>
      </c>
    </row>
    <row r="235" spans="1:2">
      <c r="A235" s="3" t="s">
        <v>1341</v>
      </c>
      <c r="B235" s="3" t="s">
        <v>1342</v>
      </c>
    </row>
    <row r="236" spans="1:2">
      <c r="A236" s="3" t="s">
        <v>1343</v>
      </c>
      <c r="B236" s="3" t="s">
        <v>1344</v>
      </c>
    </row>
    <row r="237" spans="1:2">
      <c r="A237" s="3" t="s">
        <v>1345</v>
      </c>
      <c r="B237" s="3" t="s">
        <v>1346</v>
      </c>
    </row>
    <row r="238" spans="1:2">
      <c r="A238" s="3" t="s">
        <v>1347</v>
      </c>
      <c r="B238" s="3" t="s">
        <v>1348</v>
      </c>
    </row>
    <row r="239" spans="1:2">
      <c r="A239" s="3" t="s">
        <v>1349</v>
      </c>
      <c r="B239" s="3" t="s">
        <v>1350</v>
      </c>
    </row>
    <row r="240" spans="1:2">
      <c r="A240" s="3" t="s">
        <v>1351</v>
      </c>
      <c r="B240" s="3" t="s">
        <v>1352</v>
      </c>
    </row>
    <row r="241" spans="1:2">
      <c r="A241" s="3" t="s">
        <v>1353</v>
      </c>
      <c r="B241" s="3" t="s">
        <v>1354</v>
      </c>
    </row>
    <row r="242" spans="1:2">
      <c r="A242" s="3" t="s">
        <v>1355</v>
      </c>
      <c r="B242" s="3" t="s">
        <v>1356</v>
      </c>
    </row>
    <row r="243" spans="1:2">
      <c r="A243" s="3" t="s">
        <v>1357</v>
      </c>
      <c r="B243" s="3" t="s">
        <v>1358</v>
      </c>
    </row>
    <row r="244" spans="1:2">
      <c r="A244" s="3" t="s">
        <v>1359</v>
      </c>
      <c r="B244" s="3" t="s">
        <v>1360</v>
      </c>
    </row>
    <row r="245" spans="1:2">
      <c r="A245" s="3" t="s">
        <v>1361</v>
      </c>
      <c r="B245" s="3" t="s">
        <v>1362</v>
      </c>
    </row>
    <row r="246" spans="1:2">
      <c r="A246" s="3" t="s">
        <v>1363</v>
      </c>
      <c r="B246" s="3" t="s">
        <v>1364</v>
      </c>
    </row>
    <row r="247" spans="1:2">
      <c r="A247" s="3" t="s">
        <v>1365</v>
      </c>
      <c r="B247" s="3" t="s">
        <v>1366</v>
      </c>
    </row>
    <row r="248" spans="1:2">
      <c r="A248" s="3" t="s">
        <v>1367</v>
      </c>
      <c r="B248" s="3" t="s">
        <v>1368</v>
      </c>
    </row>
    <row r="249" spans="1:2">
      <c r="A249" s="3" t="s">
        <v>1369</v>
      </c>
      <c r="B249" s="3" t="s">
        <v>1370</v>
      </c>
    </row>
    <row r="250" spans="1:2">
      <c r="A250" s="3" t="s">
        <v>1371</v>
      </c>
      <c r="B250" s="3" t="s">
        <v>1372</v>
      </c>
    </row>
    <row r="251" spans="1:2">
      <c r="A251" s="3" t="s">
        <v>1373</v>
      </c>
      <c r="B251" s="3" t="s">
        <v>1374</v>
      </c>
    </row>
    <row r="252" spans="1:2">
      <c r="A252" s="3" t="s">
        <v>1375</v>
      </c>
      <c r="B252" s="3" t="s">
        <v>1376</v>
      </c>
    </row>
    <row r="253" spans="1:2">
      <c r="A253" s="3" t="s">
        <v>1377</v>
      </c>
      <c r="B253" s="3" t="s">
        <v>1378</v>
      </c>
    </row>
    <row r="254" spans="1:2">
      <c r="A254" s="3" t="s">
        <v>1379</v>
      </c>
      <c r="B254" s="3" t="s">
        <v>1380</v>
      </c>
    </row>
    <row r="255" spans="1:2">
      <c r="A255" s="3" t="s">
        <v>1381</v>
      </c>
      <c r="B255" s="3" t="s">
        <v>1382</v>
      </c>
    </row>
    <row r="256" spans="1:2">
      <c r="A256" s="3" t="s">
        <v>1383</v>
      </c>
      <c r="B256" s="3" t="s">
        <v>1384</v>
      </c>
    </row>
    <row r="257" spans="1:2">
      <c r="A257" s="3" t="s">
        <v>1385</v>
      </c>
      <c r="B257" s="3" t="s">
        <v>1386</v>
      </c>
    </row>
    <row r="258" spans="1:2">
      <c r="A258" s="3" t="s">
        <v>1387</v>
      </c>
      <c r="B258" s="3" t="s">
        <v>1388</v>
      </c>
    </row>
    <row r="259" spans="1:2">
      <c r="A259" s="3" t="s">
        <v>1389</v>
      </c>
      <c r="B259" s="3" t="s">
        <v>1390</v>
      </c>
    </row>
    <row r="260" spans="1:2">
      <c r="A260" s="3" t="s">
        <v>1391</v>
      </c>
      <c r="B260" s="3" t="s">
        <v>1392</v>
      </c>
    </row>
    <row r="261" spans="1:2">
      <c r="A261" s="3" t="s">
        <v>1393</v>
      </c>
      <c r="B261" s="3" t="s">
        <v>1394</v>
      </c>
    </row>
    <row r="262" spans="1:2">
      <c r="A262" s="3" t="s">
        <v>1395</v>
      </c>
      <c r="B262" s="3" t="s">
        <v>1396</v>
      </c>
    </row>
    <row r="263" spans="1:2">
      <c r="A263" s="3" t="s">
        <v>1397</v>
      </c>
      <c r="B263" s="3" t="s">
        <v>1398</v>
      </c>
    </row>
    <row r="264" spans="1:2">
      <c r="A264" s="3" t="s">
        <v>1399</v>
      </c>
      <c r="B264" s="3" t="s">
        <v>1400</v>
      </c>
    </row>
    <row r="265" spans="1:2">
      <c r="A265" s="3" t="s">
        <v>1401</v>
      </c>
      <c r="B265" s="3" t="s">
        <v>1402</v>
      </c>
    </row>
    <row r="266" spans="1:2">
      <c r="A266" s="3" t="s">
        <v>1403</v>
      </c>
      <c r="B266" s="3" t="s">
        <v>1404</v>
      </c>
    </row>
    <row r="267" spans="1:2">
      <c r="A267" s="3" t="s">
        <v>1405</v>
      </c>
      <c r="B267" s="3" t="s">
        <v>1406</v>
      </c>
    </row>
    <row r="268" spans="1:2">
      <c r="A268" s="3" t="s">
        <v>1407</v>
      </c>
      <c r="B268" s="3" t="s">
        <v>1408</v>
      </c>
    </row>
    <row r="269" spans="1:2">
      <c r="A269" s="3" t="s">
        <v>1409</v>
      </c>
      <c r="B269" s="3" t="s">
        <v>1410</v>
      </c>
    </row>
    <row r="270" spans="1:2">
      <c r="A270" s="3" t="s">
        <v>1411</v>
      </c>
      <c r="B270" s="3" t="s">
        <v>1412</v>
      </c>
    </row>
    <row r="271" spans="1:2">
      <c r="A271" s="3" t="s">
        <v>1413</v>
      </c>
      <c r="B271" s="3" t="s">
        <v>1414</v>
      </c>
    </row>
    <row r="272" spans="1:2">
      <c r="A272" s="3" t="s">
        <v>135</v>
      </c>
      <c r="B272" s="3" t="s">
        <v>1415</v>
      </c>
    </row>
    <row r="273" spans="1:2">
      <c r="A273" s="3" t="s">
        <v>1416</v>
      </c>
      <c r="B273" s="3" t="s">
        <v>1417</v>
      </c>
    </row>
    <row r="274" spans="1:2">
      <c r="A274" s="3" t="s">
        <v>1418</v>
      </c>
      <c r="B274" s="3" t="s">
        <v>1419</v>
      </c>
    </row>
    <row r="275" spans="1:2">
      <c r="A275" s="3" t="s">
        <v>1420</v>
      </c>
      <c r="B275" s="3" t="s">
        <v>1421</v>
      </c>
    </row>
    <row r="276" spans="1:2">
      <c r="A276" s="3" t="s">
        <v>1422</v>
      </c>
      <c r="B276" s="3" t="s">
        <v>1423</v>
      </c>
    </row>
    <row r="277" spans="1:2">
      <c r="A277" s="3" t="s">
        <v>1424</v>
      </c>
      <c r="B277" s="3" t="s">
        <v>1425</v>
      </c>
    </row>
    <row r="278" spans="1:2">
      <c r="A278" s="3" t="s">
        <v>1426</v>
      </c>
      <c r="B278" s="3" t="s">
        <v>1427</v>
      </c>
    </row>
    <row r="279" spans="1:2">
      <c r="A279" s="3" t="s">
        <v>1428</v>
      </c>
      <c r="B279" s="3" t="s">
        <v>1429</v>
      </c>
    </row>
    <row r="280" spans="1:2">
      <c r="A280" s="3" t="s">
        <v>1430</v>
      </c>
      <c r="B280" s="3" t="s">
        <v>1431</v>
      </c>
    </row>
    <row r="281" spans="1:2">
      <c r="A281" s="3" t="s">
        <v>1432</v>
      </c>
      <c r="B281" s="3" t="s">
        <v>1433</v>
      </c>
    </row>
    <row r="282" spans="1:2">
      <c r="A282" s="3" t="s">
        <v>1434</v>
      </c>
      <c r="B282" s="3" t="s">
        <v>1435</v>
      </c>
    </row>
    <row r="283" spans="1:2">
      <c r="A283" s="3" t="s">
        <v>1436</v>
      </c>
      <c r="B283" s="3" t="s">
        <v>1437</v>
      </c>
    </row>
    <row r="284" spans="1:2">
      <c r="A284" s="3" t="s">
        <v>1438</v>
      </c>
      <c r="B284" s="3" t="s">
        <v>1439</v>
      </c>
    </row>
    <row r="285" spans="1:2">
      <c r="A285" s="3" t="s">
        <v>1440</v>
      </c>
      <c r="B285" s="3" t="s">
        <v>1441</v>
      </c>
    </row>
    <row r="286" spans="1:2">
      <c r="A286" s="3" t="s">
        <v>1442</v>
      </c>
      <c r="B286" s="3" t="s">
        <v>1443</v>
      </c>
    </row>
    <row r="287" spans="1:2">
      <c r="A287" s="3" t="s">
        <v>1444</v>
      </c>
      <c r="B287" s="3" t="s">
        <v>1445</v>
      </c>
    </row>
    <row r="288" spans="1:2">
      <c r="A288" s="3" t="s">
        <v>1446</v>
      </c>
      <c r="B288" s="3" t="s">
        <v>1447</v>
      </c>
    </row>
    <row r="289" spans="1:2">
      <c r="A289" s="3" t="s">
        <v>1448</v>
      </c>
      <c r="B289" s="3" t="s">
        <v>1449</v>
      </c>
    </row>
    <row r="290" spans="1:2">
      <c r="A290" s="3" t="s">
        <v>1450</v>
      </c>
      <c r="B290" s="3" t="s">
        <v>1451</v>
      </c>
    </row>
    <row r="291" spans="1:2">
      <c r="A291" s="3" t="s">
        <v>1452</v>
      </c>
      <c r="B291" s="3" t="s">
        <v>1453</v>
      </c>
    </row>
    <row r="292" spans="1:2">
      <c r="A292" s="3" t="s">
        <v>1454</v>
      </c>
      <c r="B292" s="3" t="s">
        <v>1455</v>
      </c>
    </row>
    <row r="293" spans="1:2">
      <c r="A293" s="3" t="s">
        <v>1456</v>
      </c>
      <c r="B293" s="3" t="s">
        <v>1457</v>
      </c>
    </row>
    <row r="294" spans="1:2">
      <c r="A294" s="3" t="s">
        <v>1458</v>
      </c>
      <c r="B294" s="3" t="s">
        <v>1459</v>
      </c>
    </row>
    <row r="295" spans="1:2">
      <c r="A295" s="3" t="s">
        <v>1460</v>
      </c>
      <c r="B295" s="3" t="s">
        <v>1461</v>
      </c>
    </row>
    <row r="296" spans="1:2">
      <c r="A296" s="3" t="s">
        <v>1462</v>
      </c>
      <c r="B296" s="3" t="s">
        <v>1463</v>
      </c>
    </row>
    <row r="297" spans="1:2">
      <c r="A297" s="3" t="s">
        <v>1464</v>
      </c>
      <c r="B297" s="3" t="s">
        <v>1465</v>
      </c>
    </row>
    <row r="298" spans="1:2">
      <c r="A298" s="3" t="s">
        <v>1466</v>
      </c>
      <c r="B298" s="3" t="s">
        <v>1467</v>
      </c>
    </row>
    <row r="299" spans="1:2">
      <c r="A299" s="3" t="s">
        <v>1468</v>
      </c>
      <c r="B299" s="3" t="s">
        <v>1469</v>
      </c>
    </row>
    <row r="300" spans="1:2">
      <c r="A300" s="3" t="s">
        <v>1470</v>
      </c>
      <c r="B300" s="3" t="s">
        <v>1471</v>
      </c>
    </row>
    <row r="301" spans="1:2">
      <c r="A301" s="3" t="s">
        <v>1472</v>
      </c>
      <c r="B301" s="3" t="s">
        <v>1473</v>
      </c>
    </row>
    <row r="302" spans="1:2">
      <c r="A302" s="3" t="s">
        <v>1474</v>
      </c>
      <c r="B302" s="3" t="s">
        <v>1475</v>
      </c>
    </row>
    <row r="303" spans="1:2">
      <c r="A303" s="3" t="s">
        <v>1476</v>
      </c>
      <c r="B303" s="3" t="s">
        <v>1477</v>
      </c>
    </row>
    <row r="304" spans="1:2">
      <c r="A304" s="3" t="s">
        <v>1478</v>
      </c>
      <c r="B304" s="3" t="s">
        <v>1479</v>
      </c>
    </row>
    <row r="305" spans="1:2">
      <c r="A305" s="3" t="s">
        <v>1480</v>
      </c>
      <c r="B305" s="3" t="s">
        <v>1481</v>
      </c>
    </row>
    <row r="306" spans="1:2">
      <c r="A306" s="3" t="s">
        <v>1482</v>
      </c>
      <c r="B306" s="3" t="s">
        <v>1483</v>
      </c>
    </row>
    <row r="307" spans="1:2">
      <c r="A307" s="3" t="s">
        <v>1484</v>
      </c>
      <c r="B307" s="3" t="s">
        <v>1485</v>
      </c>
    </row>
    <row r="308" spans="1:2">
      <c r="A308" s="3" t="s">
        <v>1486</v>
      </c>
      <c r="B308" s="3" t="s">
        <v>1487</v>
      </c>
    </row>
    <row r="309" spans="1:2">
      <c r="A309" s="3" t="s">
        <v>1488</v>
      </c>
      <c r="B309" s="3" t="s">
        <v>1489</v>
      </c>
    </row>
    <row r="310" spans="1:2">
      <c r="A310" s="3" t="s">
        <v>1490</v>
      </c>
      <c r="B310" s="3" t="s">
        <v>1491</v>
      </c>
    </row>
    <row r="311" spans="1:2">
      <c r="A311" s="3" t="s">
        <v>1492</v>
      </c>
      <c r="B311" s="3" t="s">
        <v>1493</v>
      </c>
    </row>
    <row r="312" spans="1:2">
      <c r="A312" s="3" t="s">
        <v>1494</v>
      </c>
      <c r="B312" s="3" t="s">
        <v>1495</v>
      </c>
    </row>
    <row r="313" spans="1:2">
      <c r="A313" s="3" t="s">
        <v>1496</v>
      </c>
      <c r="B313" s="3" t="s">
        <v>1497</v>
      </c>
    </row>
    <row r="314" spans="1:2">
      <c r="A314" s="3" t="s">
        <v>1498</v>
      </c>
      <c r="B314" s="3" t="s">
        <v>1499</v>
      </c>
    </row>
    <row r="315" spans="1:2">
      <c r="A315" s="3" t="s">
        <v>1500</v>
      </c>
      <c r="B315" s="3" t="s">
        <v>1501</v>
      </c>
    </row>
    <row r="316" spans="1:2">
      <c r="A316" s="3" t="s">
        <v>1502</v>
      </c>
      <c r="B316" s="3" t="s">
        <v>1503</v>
      </c>
    </row>
    <row r="317" spans="1:2">
      <c r="A317" s="3" t="s">
        <v>1504</v>
      </c>
      <c r="B317" s="3" t="s">
        <v>1505</v>
      </c>
    </row>
    <row r="318" spans="1:2">
      <c r="A318" s="3" t="s">
        <v>1506</v>
      </c>
      <c r="B318" s="3" t="s">
        <v>1507</v>
      </c>
    </row>
    <row r="319" spans="1:2">
      <c r="A319" s="3" t="s">
        <v>1508</v>
      </c>
      <c r="B319" s="3" t="s">
        <v>1509</v>
      </c>
    </row>
    <row r="320" spans="1:2">
      <c r="A320" s="3" t="s">
        <v>1510</v>
      </c>
      <c r="B320" s="3" t="s">
        <v>1511</v>
      </c>
    </row>
    <row r="321" spans="1:2">
      <c r="A321" s="3" t="s">
        <v>1512</v>
      </c>
      <c r="B321" s="3" t="s">
        <v>1513</v>
      </c>
    </row>
    <row r="322" spans="1:2">
      <c r="A322" s="3" t="s">
        <v>1514</v>
      </c>
      <c r="B322" s="3" t="s">
        <v>1515</v>
      </c>
    </row>
    <row r="323" spans="1:2">
      <c r="A323" s="3" t="s">
        <v>1516</v>
      </c>
      <c r="B323" s="3" t="s">
        <v>1517</v>
      </c>
    </row>
    <row r="324" spans="1:2">
      <c r="A324" s="3" t="s">
        <v>1518</v>
      </c>
      <c r="B324" s="3" t="s">
        <v>1519</v>
      </c>
    </row>
    <row r="325" spans="1:2">
      <c r="A325" s="3" t="s">
        <v>1520</v>
      </c>
      <c r="B325" s="3" t="s">
        <v>1521</v>
      </c>
    </row>
    <row r="326" spans="1:2">
      <c r="A326" s="3" t="s">
        <v>1522</v>
      </c>
      <c r="B326" s="3" t="s">
        <v>1523</v>
      </c>
    </row>
    <row r="327" spans="1:2">
      <c r="A327" s="3" t="s">
        <v>12</v>
      </c>
      <c r="B327" s="3" t="s">
        <v>1524</v>
      </c>
    </row>
    <row r="328" spans="1:2">
      <c r="A328" s="3" t="s">
        <v>1525</v>
      </c>
      <c r="B328" s="3" t="s">
        <v>1526</v>
      </c>
    </row>
    <row r="329" spans="1:2">
      <c r="A329" s="3" t="s">
        <v>1527</v>
      </c>
      <c r="B329" s="3" t="s">
        <v>1528</v>
      </c>
    </row>
    <row r="330" spans="1:2">
      <c r="A330" s="3" t="s">
        <v>1529</v>
      </c>
      <c r="B330" s="3" t="s">
        <v>1530</v>
      </c>
    </row>
    <row r="331" spans="1:2">
      <c r="A331" s="3" t="s">
        <v>1531</v>
      </c>
      <c r="B331" s="3" t="s">
        <v>1532</v>
      </c>
    </row>
    <row r="332" spans="1:2">
      <c r="A332" s="3" t="s">
        <v>1533</v>
      </c>
      <c r="B332" s="3" t="s">
        <v>1534</v>
      </c>
    </row>
    <row r="333" spans="1:2">
      <c r="A333" s="3" t="s">
        <v>1535</v>
      </c>
      <c r="B333" s="3" t="s">
        <v>1536</v>
      </c>
    </row>
    <row r="334" spans="1:2">
      <c r="A334" s="3" t="s">
        <v>1537</v>
      </c>
      <c r="B334" s="3" t="s">
        <v>1538</v>
      </c>
    </row>
    <row r="335" spans="1:2">
      <c r="A335" s="3" t="s">
        <v>1539</v>
      </c>
      <c r="B335" s="3" t="s">
        <v>1540</v>
      </c>
    </row>
    <row r="336" spans="1:2">
      <c r="A336" s="3" t="s">
        <v>1541</v>
      </c>
      <c r="B336" s="3" t="s">
        <v>1542</v>
      </c>
    </row>
    <row r="337" spans="1:2">
      <c r="A337" s="3" t="s">
        <v>1543</v>
      </c>
      <c r="B337" s="3" t="s">
        <v>1544</v>
      </c>
    </row>
    <row r="338" spans="1:2">
      <c r="A338" s="3" t="s">
        <v>1545</v>
      </c>
      <c r="B338" s="3" t="s">
        <v>1546</v>
      </c>
    </row>
    <row r="339" spans="1:2">
      <c r="A339" s="3" t="s">
        <v>1547</v>
      </c>
      <c r="B339" s="3" t="s">
        <v>1548</v>
      </c>
    </row>
    <row r="340" spans="1:2">
      <c r="A340" s="3" t="s">
        <v>1549</v>
      </c>
      <c r="B340" s="3" t="s">
        <v>1550</v>
      </c>
    </row>
    <row r="341" spans="1:2">
      <c r="A341" s="3" t="s">
        <v>1551</v>
      </c>
      <c r="B341" s="3" t="s">
        <v>1552</v>
      </c>
    </row>
    <row r="342" spans="1:2">
      <c r="A342" s="3" t="s">
        <v>1553</v>
      </c>
      <c r="B342" s="3" t="s">
        <v>1554</v>
      </c>
    </row>
    <row r="343" spans="1:2">
      <c r="A343" s="3" t="s">
        <v>1555</v>
      </c>
      <c r="B343" s="3" t="s">
        <v>1556</v>
      </c>
    </row>
    <row r="344" spans="1:2">
      <c r="A344" s="3" t="s">
        <v>1557</v>
      </c>
      <c r="B344" s="3" t="s">
        <v>1558</v>
      </c>
    </row>
    <row r="345" spans="1:2">
      <c r="A345" s="3" t="s">
        <v>1559</v>
      </c>
      <c r="B345" s="3" t="s">
        <v>1560</v>
      </c>
    </row>
    <row r="346" spans="1:2">
      <c r="A346" s="3" t="s">
        <v>1561</v>
      </c>
      <c r="B346" s="3" t="s">
        <v>1562</v>
      </c>
    </row>
    <row r="347" spans="1:2">
      <c r="A347" s="3" t="s">
        <v>1563</v>
      </c>
      <c r="B347" s="3" t="s">
        <v>1564</v>
      </c>
    </row>
    <row r="348" spans="1:2">
      <c r="A348" s="3" t="s">
        <v>1565</v>
      </c>
      <c r="B348" s="3" t="s">
        <v>1566</v>
      </c>
    </row>
    <row r="349" spans="1:2">
      <c r="A349" s="3" t="s">
        <v>1567</v>
      </c>
      <c r="B349" s="3" t="s">
        <v>1568</v>
      </c>
    </row>
    <row r="350" spans="1:2">
      <c r="A350" s="3" t="s">
        <v>1569</v>
      </c>
      <c r="B350" s="3" t="s">
        <v>1570</v>
      </c>
    </row>
    <row r="351" spans="1:2">
      <c r="A351" s="3" t="s">
        <v>1571</v>
      </c>
      <c r="B351" s="3" t="s">
        <v>1572</v>
      </c>
    </row>
    <row r="352" spans="1:2">
      <c r="A352" s="3" t="s">
        <v>1573</v>
      </c>
      <c r="B352" s="3" t="s">
        <v>1574</v>
      </c>
    </row>
    <row r="353" spans="1:2">
      <c r="A353" s="3" t="s">
        <v>1575</v>
      </c>
      <c r="B353" s="3" t="s">
        <v>1576</v>
      </c>
    </row>
    <row r="354" spans="1:2">
      <c r="A354" s="3" t="s">
        <v>1577</v>
      </c>
      <c r="B354" s="3" t="s">
        <v>1578</v>
      </c>
    </row>
    <row r="355" spans="1:2">
      <c r="A355" s="3" t="s">
        <v>1579</v>
      </c>
      <c r="B355" s="3" t="s">
        <v>1580</v>
      </c>
    </row>
    <row r="356" spans="1:2">
      <c r="A356" s="3" t="s">
        <v>1581</v>
      </c>
      <c r="B356" s="3" t="s">
        <v>1582</v>
      </c>
    </row>
    <row r="357" spans="1:2">
      <c r="A357" s="3" t="s">
        <v>1583</v>
      </c>
      <c r="B357" s="3" t="s">
        <v>1584</v>
      </c>
    </row>
    <row r="358" spans="1:2">
      <c r="A358" s="3" t="s">
        <v>1585</v>
      </c>
      <c r="B358" s="3" t="s">
        <v>1586</v>
      </c>
    </row>
    <row r="359" spans="1:2">
      <c r="A359" s="3" t="s">
        <v>1587</v>
      </c>
      <c r="B359" s="3" t="s">
        <v>1588</v>
      </c>
    </row>
    <row r="360" spans="1:2">
      <c r="A360" s="3" t="s">
        <v>1589</v>
      </c>
      <c r="B360" s="3" t="s">
        <v>1590</v>
      </c>
    </row>
    <row r="361" spans="1:2">
      <c r="A361" s="3" t="s">
        <v>1591</v>
      </c>
      <c r="B361" s="3" t="s">
        <v>975</v>
      </c>
    </row>
    <row r="362" spans="1:2">
      <c r="A362" s="3" t="s">
        <v>1592</v>
      </c>
      <c r="B362" s="3" t="s">
        <v>1593</v>
      </c>
    </row>
    <row r="363" spans="1:2">
      <c r="A363" s="3" t="s">
        <v>1594</v>
      </c>
      <c r="B363" s="3" t="s">
        <v>1595</v>
      </c>
    </row>
    <row r="364" spans="1:2">
      <c r="A364" s="3" t="s">
        <v>1596</v>
      </c>
      <c r="B364" s="3" t="s">
        <v>1597</v>
      </c>
    </row>
    <row r="365" spans="1:2">
      <c r="A365" s="3" t="s">
        <v>1598</v>
      </c>
      <c r="B365" s="3" t="s">
        <v>1599</v>
      </c>
    </row>
    <row r="366" spans="1:2">
      <c r="A366" s="3" t="s">
        <v>1600</v>
      </c>
      <c r="B366" s="3" t="s">
        <v>1601</v>
      </c>
    </row>
    <row r="367" spans="1:2">
      <c r="A367" s="3" t="s">
        <v>1602</v>
      </c>
      <c r="B367" s="3" t="s">
        <v>1603</v>
      </c>
    </row>
    <row r="368" spans="1:2">
      <c r="A368" s="3" t="s">
        <v>1604</v>
      </c>
      <c r="B368" s="3" t="s">
        <v>1605</v>
      </c>
    </row>
    <row r="369" spans="1:2">
      <c r="A369" s="3" t="s">
        <v>1606</v>
      </c>
      <c r="B369" s="3" t="s">
        <v>1607</v>
      </c>
    </row>
    <row r="370" spans="1:2">
      <c r="A370" s="3" t="s">
        <v>1608</v>
      </c>
      <c r="B370" s="3" t="s">
        <v>1609</v>
      </c>
    </row>
    <row r="371" spans="1:2">
      <c r="A371" s="3" t="s">
        <v>1610</v>
      </c>
      <c r="B371" s="3" t="s">
        <v>1611</v>
      </c>
    </row>
    <row r="372" spans="1:2">
      <c r="A372" s="3" t="s">
        <v>1612</v>
      </c>
      <c r="B372" s="3" t="s">
        <v>1613</v>
      </c>
    </row>
    <row r="373" spans="1:2">
      <c r="A373" s="3" t="s">
        <v>1614</v>
      </c>
      <c r="B373" s="3" t="s">
        <v>1615</v>
      </c>
    </row>
    <row r="374" spans="1:2">
      <c r="A374" s="3" t="s">
        <v>1616</v>
      </c>
      <c r="B374" s="3" t="s">
        <v>1617</v>
      </c>
    </row>
    <row r="375" spans="1:2">
      <c r="A375" s="3" t="s">
        <v>1618</v>
      </c>
      <c r="B375" s="3" t="s">
        <v>1619</v>
      </c>
    </row>
    <row r="376" spans="1:2">
      <c r="A376" s="3" t="s">
        <v>1620</v>
      </c>
      <c r="B376" s="3" t="s">
        <v>1621</v>
      </c>
    </row>
    <row r="377" spans="1:2">
      <c r="A377" s="3" t="s">
        <v>1622</v>
      </c>
      <c r="B377" s="3" t="s">
        <v>1623</v>
      </c>
    </row>
    <row r="378" spans="1:2">
      <c r="A378" s="3" t="s">
        <v>1624</v>
      </c>
      <c r="B378" s="3" t="s">
        <v>1625</v>
      </c>
    </row>
    <row r="379" spans="1:2">
      <c r="A379" s="3" t="s">
        <v>1626</v>
      </c>
      <c r="B379" s="3" t="s">
        <v>1627</v>
      </c>
    </row>
    <row r="380" spans="1:2">
      <c r="A380" s="3" t="s">
        <v>1628</v>
      </c>
      <c r="B380" s="3" t="s">
        <v>1629</v>
      </c>
    </row>
    <row r="381" spans="1:2">
      <c r="A381" s="3" t="s">
        <v>1630</v>
      </c>
      <c r="B381" s="3" t="s">
        <v>1631</v>
      </c>
    </row>
    <row r="382" spans="1:2">
      <c r="A382" s="3" t="s">
        <v>1632</v>
      </c>
      <c r="B382" s="3" t="s">
        <v>1633</v>
      </c>
    </row>
    <row r="383" spans="1:2">
      <c r="A383" s="3" t="s">
        <v>1634</v>
      </c>
      <c r="B383" s="3" t="s">
        <v>1635</v>
      </c>
    </row>
    <row r="384" spans="1:2">
      <c r="A384" s="3" t="s">
        <v>1636</v>
      </c>
      <c r="B384" s="3" t="s">
        <v>1637</v>
      </c>
    </row>
    <row r="385" spans="1:2">
      <c r="A385" s="3" t="s">
        <v>1638</v>
      </c>
      <c r="B385" s="3" t="s">
        <v>1639</v>
      </c>
    </row>
    <row r="386" spans="1:2">
      <c r="A386" s="3" t="s">
        <v>1640</v>
      </c>
      <c r="B386" s="3" t="s">
        <v>1641</v>
      </c>
    </row>
    <row r="387" spans="1:2">
      <c r="A387" s="3" t="s">
        <v>1642</v>
      </c>
      <c r="B387" s="3" t="s">
        <v>1643</v>
      </c>
    </row>
    <row r="388" spans="1:2">
      <c r="A388" s="3" t="s">
        <v>1644</v>
      </c>
      <c r="B388" s="3" t="s">
        <v>1645</v>
      </c>
    </row>
    <row r="389" spans="1:2">
      <c r="A389" s="3" t="s">
        <v>1646</v>
      </c>
      <c r="B389" s="3" t="s">
        <v>1647</v>
      </c>
    </row>
    <row r="390" spans="1:2">
      <c r="A390" s="3" t="s">
        <v>1648</v>
      </c>
      <c r="B390" s="3" t="s">
        <v>1649</v>
      </c>
    </row>
    <row r="391" spans="1:2">
      <c r="A391" s="3" t="s">
        <v>1650</v>
      </c>
      <c r="B391" s="3" t="s">
        <v>1651</v>
      </c>
    </row>
    <row r="392" spans="1:2">
      <c r="A392" s="3" t="s">
        <v>1652</v>
      </c>
      <c r="B392" s="3" t="s">
        <v>1653</v>
      </c>
    </row>
    <row r="393" spans="1:2">
      <c r="A393" s="3" t="s">
        <v>1654</v>
      </c>
      <c r="B393" s="3" t="s">
        <v>1655</v>
      </c>
    </row>
    <row r="394" spans="1:2">
      <c r="A394" s="3" t="s">
        <v>1656</v>
      </c>
      <c r="B394" s="3" t="s">
        <v>1657</v>
      </c>
    </row>
    <row r="395" spans="1:2">
      <c r="A395" s="3" t="s">
        <v>1658</v>
      </c>
      <c r="B395" s="3" t="s">
        <v>1659</v>
      </c>
    </row>
    <row r="396" spans="1:2">
      <c r="A396" s="3" t="s">
        <v>1660</v>
      </c>
      <c r="B396" s="3" t="s">
        <v>1661</v>
      </c>
    </row>
    <row r="397" spans="1:2">
      <c r="A397" s="3" t="s">
        <v>1662</v>
      </c>
      <c r="B397" s="3" t="s">
        <v>1663</v>
      </c>
    </row>
    <row r="398" spans="1:2">
      <c r="A398" s="3" t="s">
        <v>1664</v>
      </c>
      <c r="B398" s="3" t="s">
        <v>1665</v>
      </c>
    </row>
    <row r="399" spans="1:2">
      <c r="A399" s="3" t="s">
        <v>1666</v>
      </c>
      <c r="B399" s="3" t="s">
        <v>1667</v>
      </c>
    </row>
    <row r="400" spans="1:2">
      <c r="A400" s="3" t="s">
        <v>1668</v>
      </c>
      <c r="B400" s="3" t="s">
        <v>1669</v>
      </c>
    </row>
    <row r="401" spans="1:2">
      <c r="A401" s="3" t="s">
        <v>1670</v>
      </c>
      <c r="B401" s="3" t="s">
        <v>1671</v>
      </c>
    </row>
    <row r="402" spans="1:2">
      <c r="A402" s="3" t="s">
        <v>1672</v>
      </c>
      <c r="B402" s="3" t="s">
        <v>1673</v>
      </c>
    </row>
    <row r="403" spans="1:2">
      <c r="A403" s="3" t="s">
        <v>1674</v>
      </c>
      <c r="B403" s="3" t="s">
        <v>1675</v>
      </c>
    </row>
    <row r="404" spans="1:2">
      <c r="A404" s="3" t="s">
        <v>1676</v>
      </c>
      <c r="B404" s="3" t="s">
        <v>1677</v>
      </c>
    </row>
    <row r="405" spans="1:2">
      <c r="A405" s="3" t="s">
        <v>1678</v>
      </c>
      <c r="B405" s="3" t="s">
        <v>1679</v>
      </c>
    </row>
    <row r="406" spans="1:2">
      <c r="A406" s="3" t="s">
        <v>147</v>
      </c>
      <c r="B406" s="3" t="s">
        <v>1680</v>
      </c>
    </row>
    <row r="407" spans="1:2">
      <c r="A407" s="3" t="s">
        <v>1681</v>
      </c>
      <c r="B407" s="3" t="s">
        <v>1682</v>
      </c>
    </row>
    <row r="408" spans="1:2">
      <c r="A408" s="3" t="s">
        <v>1683</v>
      </c>
      <c r="B408" s="3" t="s">
        <v>1684</v>
      </c>
    </row>
    <row r="409" spans="1:2">
      <c r="A409" s="3" t="s">
        <v>1685</v>
      </c>
      <c r="B409" s="3" t="s">
        <v>1686</v>
      </c>
    </row>
    <row r="410" spans="1:2">
      <c r="A410" s="3" t="s">
        <v>1687</v>
      </c>
      <c r="B410" s="3" t="s">
        <v>1688</v>
      </c>
    </row>
    <row r="411" spans="1:2">
      <c r="A411" s="3" t="s">
        <v>1689</v>
      </c>
      <c r="B411" s="3" t="s">
        <v>1690</v>
      </c>
    </row>
    <row r="412" spans="1:2">
      <c r="A412" s="3" t="s">
        <v>1691</v>
      </c>
      <c r="B412" s="3" t="s">
        <v>1692</v>
      </c>
    </row>
    <row r="413" spans="1:2">
      <c r="A413" s="3" t="s">
        <v>1693</v>
      </c>
      <c r="B413" s="3" t="s">
        <v>1694</v>
      </c>
    </row>
    <row r="414" spans="1:2">
      <c r="A414" s="3" t="s">
        <v>1695</v>
      </c>
      <c r="B414" s="3" t="s">
        <v>1696</v>
      </c>
    </row>
    <row r="415" spans="1:2">
      <c r="A415" s="3" t="s">
        <v>1697</v>
      </c>
      <c r="B415" s="3" t="s">
        <v>1698</v>
      </c>
    </row>
    <row r="416" spans="1:2">
      <c r="A416" s="3" t="s">
        <v>1699</v>
      </c>
      <c r="B416" s="3" t="s">
        <v>1700</v>
      </c>
    </row>
    <row r="417" spans="1:2">
      <c r="A417" s="3" t="s">
        <v>1701</v>
      </c>
      <c r="B417" s="3" t="s">
        <v>1702</v>
      </c>
    </row>
    <row r="418" spans="1:2">
      <c r="A418" s="3" t="s">
        <v>1703</v>
      </c>
      <c r="B418" s="3" t="s">
        <v>1704</v>
      </c>
    </row>
    <row r="419" spans="1:2">
      <c r="A419" s="3" t="s">
        <v>1705</v>
      </c>
      <c r="B419" s="3" t="s">
        <v>1706</v>
      </c>
    </row>
    <row r="420" spans="1:2">
      <c r="A420" s="3" t="s">
        <v>1707</v>
      </c>
      <c r="B420" s="3" t="s">
        <v>1708</v>
      </c>
    </row>
    <row r="421" spans="1:2">
      <c r="A421" s="3" t="s">
        <v>1709</v>
      </c>
      <c r="B421" s="3" t="s">
        <v>1710</v>
      </c>
    </row>
    <row r="422" spans="1:2">
      <c r="A422" s="3" t="s">
        <v>1711</v>
      </c>
      <c r="B422" s="3" t="s">
        <v>1712</v>
      </c>
    </row>
    <row r="423" spans="1:2">
      <c r="A423" s="3" t="s">
        <v>1713</v>
      </c>
      <c r="B423" s="3" t="s">
        <v>1714</v>
      </c>
    </row>
    <row r="424" spans="1:2">
      <c r="A424" s="3" t="s">
        <v>1715</v>
      </c>
      <c r="B424" s="3" t="s">
        <v>1716</v>
      </c>
    </row>
    <row r="425" spans="1:2">
      <c r="A425" s="3" t="s">
        <v>1717</v>
      </c>
      <c r="B425" s="3" t="s">
        <v>1718</v>
      </c>
    </row>
    <row r="426" spans="1:2">
      <c r="A426" s="3" t="s">
        <v>1719</v>
      </c>
      <c r="B426" s="3" t="s">
        <v>1720</v>
      </c>
    </row>
    <row r="427" spans="1:2">
      <c r="A427" s="3" t="s">
        <v>1721</v>
      </c>
      <c r="B427" s="3" t="s">
        <v>1722</v>
      </c>
    </row>
    <row r="428" spans="1:2">
      <c r="A428" s="3" t="s">
        <v>1723</v>
      </c>
      <c r="B428" s="3" t="s">
        <v>1724</v>
      </c>
    </row>
    <row r="429" spans="1:2">
      <c r="A429" s="3" t="s">
        <v>1725</v>
      </c>
      <c r="B429" s="3" t="s">
        <v>1726</v>
      </c>
    </row>
    <row r="430" spans="1:2">
      <c r="A430" s="3" t="s">
        <v>1727</v>
      </c>
      <c r="B430" s="3" t="s">
        <v>1728</v>
      </c>
    </row>
    <row r="431" spans="1:2">
      <c r="A431" s="3" t="s">
        <v>1729</v>
      </c>
      <c r="B431" s="3" t="s">
        <v>1730</v>
      </c>
    </row>
    <row r="432" spans="1:2">
      <c r="A432" s="3" t="s">
        <v>1731</v>
      </c>
      <c r="B432" s="3" t="s">
        <v>1732</v>
      </c>
    </row>
    <row r="433" spans="1:2">
      <c r="A433" s="3" t="s">
        <v>1733</v>
      </c>
      <c r="B433" s="3" t="s">
        <v>1734</v>
      </c>
    </row>
    <row r="434" spans="1:2">
      <c r="A434" s="3" t="s">
        <v>1735</v>
      </c>
      <c r="B434" s="3" t="s">
        <v>1736</v>
      </c>
    </row>
    <row r="435" spans="1:2">
      <c r="A435" s="3" t="s">
        <v>1737</v>
      </c>
      <c r="B435" s="3" t="s">
        <v>1738</v>
      </c>
    </row>
    <row r="436" spans="1:2">
      <c r="A436" s="3" t="s">
        <v>1739</v>
      </c>
      <c r="B436" s="3" t="s">
        <v>1740</v>
      </c>
    </row>
    <row r="437" spans="1:2">
      <c r="A437" s="3" t="s">
        <v>1741</v>
      </c>
      <c r="B437" s="3" t="s">
        <v>1742</v>
      </c>
    </row>
    <row r="438" spans="1:2">
      <c r="A438" s="3" t="s">
        <v>1743</v>
      </c>
      <c r="B438" s="3" t="s">
        <v>1744</v>
      </c>
    </row>
    <row r="439" spans="1:2">
      <c r="A439" s="3" t="s">
        <v>1745</v>
      </c>
      <c r="B439" s="3" t="s">
        <v>1746</v>
      </c>
    </row>
    <row r="440" spans="1:2">
      <c r="A440" s="3" t="s">
        <v>1747</v>
      </c>
      <c r="B440" s="3" t="s">
        <v>1748</v>
      </c>
    </row>
    <row r="441" spans="1:2">
      <c r="A441" s="3" t="s">
        <v>1749</v>
      </c>
      <c r="B441" s="3" t="s">
        <v>1750</v>
      </c>
    </row>
    <row r="442" spans="1:2">
      <c r="A442" s="3" t="s">
        <v>1751</v>
      </c>
      <c r="B442" s="3" t="s">
        <v>1752</v>
      </c>
    </row>
    <row r="443" spans="1:2">
      <c r="A443" s="3" t="s">
        <v>1753</v>
      </c>
      <c r="B443" s="3" t="s">
        <v>1754</v>
      </c>
    </row>
    <row r="444" spans="1:2">
      <c r="A444" s="3" t="s">
        <v>1755</v>
      </c>
      <c r="B444" s="3" t="s">
        <v>1756</v>
      </c>
    </row>
    <row r="445" spans="1:2">
      <c r="A445" s="3" t="s">
        <v>1757</v>
      </c>
      <c r="B445" s="3" t="s">
        <v>1758</v>
      </c>
    </row>
    <row r="446" spans="1:2">
      <c r="A446" s="3" t="s">
        <v>1759</v>
      </c>
      <c r="B446" s="3" t="s">
        <v>1760</v>
      </c>
    </row>
    <row r="447" spans="1:2">
      <c r="A447" s="3" t="s">
        <v>1761</v>
      </c>
      <c r="B447" s="3" t="s">
        <v>1762</v>
      </c>
    </row>
    <row r="448" spans="1:2">
      <c r="A448" s="3" t="s">
        <v>1763</v>
      </c>
      <c r="B448" s="3" t="s">
        <v>1764</v>
      </c>
    </row>
    <row r="449" spans="1:2">
      <c r="A449" s="3" t="s">
        <v>1765</v>
      </c>
      <c r="B449" s="3" t="s">
        <v>1766</v>
      </c>
    </row>
    <row r="450" spans="1:2">
      <c r="A450" s="3" t="s">
        <v>1767</v>
      </c>
      <c r="B450" s="3" t="s">
        <v>1768</v>
      </c>
    </row>
    <row r="451" spans="1:2">
      <c r="A451" s="3" t="s">
        <v>1769</v>
      </c>
      <c r="B451" s="3" t="s">
        <v>1770</v>
      </c>
    </row>
    <row r="452" spans="1:2">
      <c r="A452" s="3" t="s">
        <v>1771</v>
      </c>
      <c r="B452" s="3" t="s">
        <v>1772</v>
      </c>
    </row>
    <row r="453" spans="1:2">
      <c r="A453" s="3" t="s">
        <v>1773</v>
      </c>
      <c r="B453" s="3" t="s">
        <v>1774</v>
      </c>
    </row>
    <row r="454" spans="1:2">
      <c r="A454" s="3" t="s">
        <v>1775</v>
      </c>
      <c r="B454" s="3" t="s">
        <v>1776</v>
      </c>
    </row>
    <row r="455" spans="1:2">
      <c r="A455" s="3" t="s">
        <v>1777</v>
      </c>
      <c r="B455" s="3" t="s">
        <v>1778</v>
      </c>
    </row>
    <row r="456" spans="1:2">
      <c r="A456" s="3" t="s">
        <v>1779</v>
      </c>
      <c r="B456" s="3" t="s">
        <v>1780</v>
      </c>
    </row>
    <row r="457" spans="1:2">
      <c r="A457" s="3" t="s">
        <v>1781</v>
      </c>
      <c r="B457" s="3" t="s">
        <v>1782</v>
      </c>
    </row>
    <row r="458" spans="1:2">
      <c r="A458" s="3" t="s">
        <v>1783</v>
      </c>
      <c r="B458" s="3" t="s">
        <v>1784</v>
      </c>
    </row>
    <row r="459" spans="1:2">
      <c r="A459" s="3" t="s">
        <v>1785</v>
      </c>
      <c r="B459" s="3" t="s">
        <v>1786</v>
      </c>
    </row>
    <row r="460" spans="1:2">
      <c r="A460" s="3" t="s">
        <v>1787</v>
      </c>
      <c r="B460" s="3" t="s">
        <v>1788</v>
      </c>
    </row>
    <row r="461" spans="1:2">
      <c r="A461" s="3" t="s">
        <v>1789</v>
      </c>
      <c r="B461" s="3" t="s">
        <v>1790</v>
      </c>
    </row>
    <row r="462" spans="1:2">
      <c r="A462" s="3" t="s">
        <v>1791</v>
      </c>
      <c r="B462" s="3" t="s">
        <v>1792</v>
      </c>
    </row>
    <row r="463" spans="1:2">
      <c r="A463" s="3" t="s">
        <v>1793</v>
      </c>
      <c r="B463" s="3" t="s">
        <v>1794</v>
      </c>
    </row>
    <row r="464" spans="1:2">
      <c r="A464" s="3" t="s">
        <v>1795</v>
      </c>
      <c r="B464" s="3" t="s">
        <v>1796</v>
      </c>
    </row>
    <row r="465" spans="1:2">
      <c r="A465" s="3" t="s">
        <v>1797</v>
      </c>
      <c r="B465" s="3" t="s">
        <v>1798</v>
      </c>
    </row>
    <row r="466" spans="1:2">
      <c r="A466" s="3" t="s">
        <v>1799</v>
      </c>
      <c r="B466" s="3" t="s">
        <v>1800</v>
      </c>
    </row>
    <row r="467" spans="1:2">
      <c r="A467" s="3" t="s">
        <v>1801</v>
      </c>
      <c r="B467" s="3" t="s">
        <v>1802</v>
      </c>
    </row>
    <row r="468" spans="1:2">
      <c r="A468" s="3" t="s">
        <v>1803</v>
      </c>
      <c r="B468" s="3" t="s">
        <v>1804</v>
      </c>
    </row>
    <row r="469" spans="1:2">
      <c r="A469" s="3" t="s">
        <v>1805</v>
      </c>
      <c r="B469" s="3" t="s">
        <v>1806</v>
      </c>
    </row>
    <row r="470" spans="1:2">
      <c r="A470" s="3" t="s">
        <v>1807</v>
      </c>
      <c r="B470" s="3" t="s">
        <v>1808</v>
      </c>
    </row>
    <row r="471" spans="1:2">
      <c r="A471" s="3" t="s">
        <v>1809</v>
      </c>
      <c r="B471" s="3" t="s">
        <v>1810</v>
      </c>
    </row>
    <row r="472" spans="1:2">
      <c r="A472" s="3" t="s">
        <v>1811</v>
      </c>
      <c r="B472" s="3" t="s">
        <v>1812</v>
      </c>
    </row>
    <row r="473" spans="1:2">
      <c r="A473" s="3" t="s">
        <v>1813</v>
      </c>
      <c r="B473" s="3" t="s">
        <v>1814</v>
      </c>
    </row>
    <row r="474" spans="1:2">
      <c r="A474" s="3" t="s">
        <v>1815</v>
      </c>
      <c r="B474" s="3" t="s">
        <v>1816</v>
      </c>
    </row>
    <row r="475" spans="1:2">
      <c r="A475" s="3" t="s">
        <v>1817</v>
      </c>
      <c r="B475" s="3" t="s">
        <v>1818</v>
      </c>
    </row>
    <row r="476" spans="1:2">
      <c r="A476" s="3" t="s">
        <v>1819</v>
      </c>
      <c r="B476" s="3" t="s">
        <v>1820</v>
      </c>
    </row>
    <row r="477" spans="1:2">
      <c r="A477" s="3" t="s">
        <v>1821</v>
      </c>
      <c r="B477" s="3" t="s">
        <v>1822</v>
      </c>
    </row>
    <row r="478" spans="1:2">
      <c r="A478" s="3" t="s">
        <v>1823</v>
      </c>
      <c r="B478" s="3" t="s">
        <v>1824</v>
      </c>
    </row>
    <row r="479" spans="1:2">
      <c r="A479" s="3" t="s">
        <v>1825</v>
      </c>
      <c r="B479" s="3" t="s">
        <v>1826</v>
      </c>
    </row>
    <row r="480" spans="1:2">
      <c r="A480" s="3" t="s">
        <v>1827</v>
      </c>
      <c r="B480" s="3" t="s">
        <v>1828</v>
      </c>
    </row>
    <row r="481" spans="1:2">
      <c r="A481" s="3" t="s">
        <v>1829</v>
      </c>
      <c r="B481" s="3" t="s">
        <v>1830</v>
      </c>
    </row>
    <row r="482" spans="1:2">
      <c r="A482" s="3" t="s">
        <v>1831</v>
      </c>
      <c r="B482" s="3" t="s">
        <v>1832</v>
      </c>
    </row>
    <row r="483" spans="1:2">
      <c r="A483" s="3" t="s">
        <v>1833</v>
      </c>
      <c r="B483" s="3" t="s">
        <v>1834</v>
      </c>
    </row>
    <row r="484" spans="1:2">
      <c r="A484" s="3" t="s">
        <v>1835</v>
      </c>
      <c r="B484" s="3" t="s">
        <v>1836</v>
      </c>
    </row>
    <row r="485" spans="1:2">
      <c r="A485" s="3" t="s">
        <v>1837</v>
      </c>
      <c r="B485" s="3" t="s">
        <v>1838</v>
      </c>
    </row>
    <row r="486" spans="1:2">
      <c r="A486" s="3" t="s">
        <v>1839</v>
      </c>
      <c r="B486" s="3" t="s">
        <v>1840</v>
      </c>
    </row>
    <row r="487" spans="1:2">
      <c r="A487" s="3" t="s">
        <v>1841</v>
      </c>
      <c r="B487" s="3" t="s">
        <v>1842</v>
      </c>
    </row>
    <row r="488" spans="1:2">
      <c r="A488" s="3" t="s">
        <v>1843</v>
      </c>
      <c r="B488" s="3" t="s">
        <v>1844</v>
      </c>
    </row>
    <row r="489" spans="1:2">
      <c r="A489" s="3" t="s">
        <v>1845</v>
      </c>
      <c r="B489" s="3" t="s">
        <v>1846</v>
      </c>
    </row>
    <row r="490" spans="1:2">
      <c r="A490" s="3" t="s">
        <v>1847</v>
      </c>
      <c r="B490" s="3" t="s">
        <v>1848</v>
      </c>
    </row>
    <row r="491" spans="1:2">
      <c r="A491" s="3" t="s">
        <v>168</v>
      </c>
      <c r="B491" s="3" t="s">
        <v>1849</v>
      </c>
    </row>
    <row r="492" spans="1:2">
      <c r="A492" s="3" t="s">
        <v>1850</v>
      </c>
      <c r="B492" s="3" t="s">
        <v>1851</v>
      </c>
    </row>
    <row r="493" spans="1:2">
      <c r="A493" s="3" t="s">
        <v>1852</v>
      </c>
      <c r="B493" s="3" t="s">
        <v>1853</v>
      </c>
    </row>
    <row r="494" spans="1:2">
      <c r="A494" s="3" t="s">
        <v>1854</v>
      </c>
      <c r="B494" s="3" t="s">
        <v>1855</v>
      </c>
    </row>
    <row r="495" spans="1:2">
      <c r="A495" s="3" t="s">
        <v>1856</v>
      </c>
      <c r="B495" s="3" t="s">
        <v>1857</v>
      </c>
    </row>
    <row r="496" spans="1:2">
      <c r="A496" s="3" t="s">
        <v>1858</v>
      </c>
      <c r="B496" s="3" t="s">
        <v>1859</v>
      </c>
    </row>
    <row r="497" spans="1:2">
      <c r="A497" s="3" t="s">
        <v>1860</v>
      </c>
      <c r="B497" s="3" t="s">
        <v>1861</v>
      </c>
    </row>
    <row r="498" spans="1:2">
      <c r="A498" s="3" t="s">
        <v>1862</v>
      </c>
      <c r="B498" s="3" t="s">
        <v>1863</v>
      </c>
    </row>
    <row r="499" spans="1:2">
      <c r="A499" s="3" t="s">
        <v>1864</v>
      </c>
      <c r="B499" s="3" t="s">
        <v>1865</v>
      </c>
    </row>
    <row r="500" spans="1:2">
      <c r="A500" s="3" t="s">
        <v>1866</v>
      </c>
      <c r="B500" s="3" t="s">
        <v>1867</v>
      </c>
    </row>
    <row r="501" spans="1:2">
      <c r="A501" s="3" t="s">
        <v>1868</v>
      </c>
      <c r="B501" s="3" t="s">
        <v>1869</v>
      </c>
    </row>
    <row r="502" spans="1:2">
      <c r="A502" s="3" t="s">
        <v>1870</v>
      </c>
      <c r="B502" s="3" t="s">
        <v>1871</v>
      </c>
    </row>
    <row r="503" spans="1:2">
      <c r="A503" s="3" t="s">
        <v>1872</v>
      </c>
      <c r="B503" s="3" t="s">
        <v>1873</v>
      </c>
    </row>
    <row r="504" spans="1:2">
      <c r="A504" s="3" t="s">
        <v>1874</v>
      </c>
      <c r="B504" s="3" t="s">
        <v>1875</v>
      </c>
    </row>
    <row r="505" spans="1:2">
      <c r="A505" s="3" t="s">
        <v>1876</v>
      </c>
      <c r="B505" s="3" t="s">
        <v>1877</v>
      </c>
    </row>
    <row r="506" spans="1:2">
      <c r="A506" s="3" t="s">
        <v>1878</v>
      </c>
      <c r="B506" s="3" t="s">
        <v>1879</v>
      </c>
    </row>
    <row r="507" spans="1:2">
      <c r="A507" s="3" t="s">
        <v>1880</v>
      </c>
      <c r="B507" s="3" t="s">
        <v>1881</v>
      </c>
    </row>
    <row r="508" spans="1:2">
      <c r="A508" s="3" t="s">
        <v>1882</v>
      </c>
      <c r="B508" s="3" t="s">
        <v>1883</v>
      </c>
    </row>
    <row r="509" spans="1:2">
      <c r="A509" s="3" t="s">
        <v>1884</v>
      </c>
      <c r="B509" s="3" t="s">
        <v>1885</v>
      </c>
    </row>
    <row r="510" spans="1:2">
      <c r="A510" s="3" t="s">
        <v>1886</v>
      </c>
      <c r="B510" s="3" t="s">
        <v>1887</v>
      </c>
    </row>
    <row r="511" spans="1:2">
      <c r="A511" s="3" t="s">
        <v>1888</v>
      </c>
      <c r="B511" s="3" t="s">
        <v>1889</v>
      </c>
    </row>
    <row r="512" spans="1:2">
      <c r="A512" s="3" t="s">
        <v>1890</v>
      </c>
      <c r="B512" s="3" t="s">
        <v>1891</v>
      </c>
    </row>
    <row r="513" spans="1:2">
      <c r="A513" s="3" t="s">
        <v>1892</v>
      </c>
      <c r="B513" s="3" t="s">
        <v>1893</v>
      </c>
    </row>
    <row r="514" spans="1:2">
      <c r="A514" s="3" t="s">
        <v>1894</v>
      </c>
      <c r="B514" s="3" t="s">
        <v>1895</v>
      </c>
    </row>
    <row r="515" spans="1:2">
      <c r="A515" s="3" t="s">
        <v>1896</v>
      </c>
      <c r="B515" s="3" t="s">
        <v>1897</v>
      </c>
    </row>
    <row r="516" spans="1:2">
      <c r="A516" s="3" t="s">
        <v>1898</v>
      </c>
      <c r="B516" s="3" t="s">
        <v>1899</v>
      </c>
    </row>
    <row r="517" spans="1:2">
      <c r="A517" s="3" t="s">
        <v>1900</v>
      </c>
      <c r="B517" s="3" t="s">
        <v>1901</v>
      </c>
    </row>
    <row r="518" spans="1:2">
      <c r="A518" s="3" t="s">
        <v>1902</v>
      </c>
      <c r="B518" s="3" t="s">
        <v>1903</v>
      </c>
    </row>
    <row r="519" spans="1:2">
      <c r="A519" s="3" t="s">
        <v>1904</v>
      </c>
      <c r="B519" s="3" t="s">
        <v>1905</v>
      </c>
    </row>
    <row r="520" spans="1:2">
      <c r="A520" s="3" t="s">
        <v>1906</v>
      </c>
      <c r="B520" s="3" t="s">
        <v>1907</v>
      </c>
    </row>
    <row r="521" spans="1:2">
      <c r="A521" s="3" t="s">
        <v>1908</v>
      </c>
      <c r="B521" s="3" t="s">
        <v>1909</v>
      </c>
    </row>
    <row r="522" spans="1:2">
      <c r="A522" s="3" t="s">
        <v>1910</v>
      </c>
      <c r="B522" s="3" t="s">
        <v>1911</v>
      </c>
    </row>
    <row r="523" spans="1:2">
      <c r="A523" s="3" t="s">
        <v>1912</v>
      </c>
      <c r="B523" s="3" t="s">
        <v>1913</v>
      </c>
    </row>
    <row r="524" spans="1:2">
      <c r="A524" s="3" t="s">
        <v>1914</v>
      </c>
      <c r="B524" s="3" t="s">
        <v>1915</v>
      </c>
    </row>
    <row r="525" spans="1:2">
      <c r="A525" s="3" t="s">
        <v>1916</v>
      </c>
      <c r="B525" s="3" t="s">
        <v>1917</v>
      </c>
    </row>
    <row r="526" spans="1:2">
      <c r="A526" s="3" t="s">
        <v>1918</v>
      </c>
      <c r="B526" s="3" t="s">
        <v>1919</v>
      </c>
    </row>
    <row r="527" spans="1:2">
      <c r="A527" s="3" t="s">
        <v>1920</v>
      </c>
      <c r="B527" s="3" t="s">
        <v>1921</v>
      </c>
    </row>
    <row r="528" spans="1:2">
      <c r="A528" s="3" t="s">
        <v>1922</v>
      </c>
      <c r="B528" s="3" t="s">
        <v>1923</v>
      </c>
    </row>
    <row r="529" spans="1:2">
      <c r="A529" s="3" t="s">
        <v>1924</v>
      </c>
      <c r="B529" s="3" t="s">
        <v>1925</v>
      </c>
    </row>
    <row r="530" spans="1:2">
      <c r="A530" s="3" t="s">
        <v>1926</v>
      </c>
      <c r="B530" s="3" t="s">
        <v>1927</v>
      </c>
    </row>
    <row r="531" spans="1:2">
      <c r="A531" s="3" t="s">
        <v>1928</v>
      </c>
      <c r="B531" s="3" t="s">
        <v>1929</v>
      </c>
    </row>
    <row r="532" spans="1:2">
      <c r="A532" s="3" t="s">
        <v>1930</v>
      </c>
      <c r="B532" s="3" t="s">
        <v>1931</v>
      </c>
    </row>
    <row r="533" spans="1:2">
      <c r="A533" s="3" t="s">
        <v>1932</v>
      </c>
      <c r="B533" s="3" t="s">
        <v>1933</v>
      </c>
    </row>
    <row r="534" spans="1:2">
      <c r="A534" s="3" t="s">
        <v>1934</v>
      </c>
      <c r="B534" s="3" t="s">
        <v>1935</v>
      </c>
    </row>
    <row r="535" spans="1:2">
      <c r="A535" s="3" t="s">
        <v>1936</v>
      </c>
      <c r="B535" s="3" t="s">
        <v>1937</v>
      </c>
    </row>
    <row r="536" spans="1:2">
      <c r="A536" s="3" t="s">
        <v>1938</v>
      </c>
      <c r="B536" s="3" t="s">
        <v>1939</v>
      </c>
    </row>
    <row r="537" spans="1:2">
      <c r="A537" s="3" t="s">
        <v>1940</v>
      </c>
      <c r="B537" s="3" t="s">
        <v>1941</v>
      </c>
    </row>
    <row r="538" spans="1:2">
      <c r="A538" s="3" t="s">
        <v>1942</v>
      </c>
      <c r="B538" s="3" t="s">
        <v>1943</v>
      </c>
    </row>
    <row r="539" spans="1:2">
      <c r="A539" s="3" t="s">
        <v>1944</v>
      </c>
      <c r="B539" s="3" t="s">
        <v>1945</v>
      </c>
    </row>
    <row r="540" spans="1:2">
      <c r="A540" s="3" t="s">
        <v>1946</v>
      </c>
      <c r="B540" s="3" t="s">
        <v>1947</v>
      </c>
    </row>
    <row r="541" spans="1:2">
      <c r="A541" s="3" t="s">
        <v>1948</v>
      </c>
      <c r="B541" s="3" t="s">
        <v>1949</v>
      </c>
    </row>
    <row r="542" spans="1:2">
      <c r="A542" s="3" t="s">
        <v>1950</v>
      </c>
      <c r="B542" s="3" t="s">
        <v>1951</v>
      </c>
    </row>
    <row r="543" spans="1:2">
      <c r="A543" s="3" t="s">
        <v>1952</v>
      </c>
      <c r="B543" s="3" t="s">
        <v>1953</v>
      </c>
    </row>
    <row r="544" spans="1:2">
      <c r="A544" s="3" t="s">
        <v>1954</v>
      </c>
      <c r="B544" s="3" t="s">
        <v>1955</v>
      </c>
    </row>
    <row r="545" spans="1:2">
      <c r="A545" s="3" t="s">
        <v>1956</v>
      </c>
      <c r="B545" s="3" t="s">
        <v>1957</v>
      </c>
    </row>
    <row r="546" spans="1:2">
      <c r="A546" s="3" t="s">
        <v>1958</v>
      </c>
      <c r="B546" s="3" t="s">
        <v>1959</v>
      </c>
    </row>
    <row r="547" spans="1:2">
      <c r="A547" s="3" t="s">
        <v>1960</v>
      </c>
      <c r="B547" s="3" t="s">
        <v>1961</v>
      </c>
    </row>
    <row r="548" spans="1:2">
      <c r="A548" s="3" t="s">
        <v>1962</v>
      </c>
      <c r="B548" s="3" t="s">
        <v>1963</v>
      </c>
    </row>
    <row r="549" spans="1:2">
      <c r="A549" s="3" t="s">
        <v>1964</v>
      </c>
      <c r="B549" s="3" t="s">
        <v>1965</v>
      </c>
    </row>
    <row r="550" spans="1:2">
      <c r="A550" s="3" t="s">
        <v>1966</v>
      </c>
      <c r="B550" s="3" t="s">
        <v>1967</v>
      </c>
    </row>
    <row r="551" spans="1:2">
      <c r="A551" s="3" t="s">
        <v>1968</v>
      </c>
      <c r="B551" s="3" t="s">
        <v>1969</v>
      </c>
    </row>
    <row r="552" spans="1:2">
      <c r="A552" s="3" t="s">
        <v>1970</v>
      </c>
      <c r="B552" s="3" t="s">
        <v>1971</v>
      </c>
    </row>
    <row r="553" spans="1:2">
      <c r="A553" s="3" t="s">
        <v>1972</v>
      </c>
      <c r="B553" s="3" t="s">
        <v>1973</v>
      </c>
    </row>
    <row r="554" spans="1:2">
      <c r="A554" s="3" t="s">
        <v>1974</v>
      </c>
      <c r="B554" s="3" t="s">
        <v>1975</v>
      </c>
    </row>
    <row r="555" spans="1:2">
      <c r="A555" s="3" t="s">
        <v>1976</v>
      </c>
      <c r="B555" s="3" t="s">
        <v>1977</v>
      </c>
    </row>
    <row r="556" spans="1:2">
      <c r="A556" s="3" t="s">
        <v>1978</v>
      </c>
      <c r="B556" s="3" t="s">
        <v>1979</v>
      </c>
    </row>
    <row r="557" spans="1:2">
      <c r="A557" s="3" t="s">
        <v>1980</v>
      </c>
      <c r="B557" s="3" t="s">
        <v>1981</v>
      </c>
    </row>
    <row r="558" spans="1:2">
      <c r="A558" s="3" t="s">
        <v>1982</v>
      </c>
      <c r="B558" s="3" t="s">
        <v>1983</v>
      </c>
    </row>
    <row r="559" spans="1:2">
      <c r="A559" s="3" t="s">
        <v>1984</v>
      </c>
      <c r="B559" s="3" t="s">
        <v>1985</v>
      </c>
    </row>
    <row r="560" spans="1:2">
      <c r="A560" s="3" t="s">
        <v>1986</v>
      </c>
      <c r="B560" s="3" t="s">
        <v>1987</v>
      </c>
    </row>
    <row r="561" spans="1:2">
      <c r="A561" s="3" t="s">
        <v>1988</v>
      </c>
      <c r="B561" s="3" t="s">
        <v>1989</v>
      </c>
    </row>
    <row r="562" spans="1:2">
      <c r="A562" s="3" t="s">
        <v>1990</v>
      </c>
      <c r="B562" s="3" t="s">
        <v>1991</v>
      </c>
    </row>
    <row r="563" spans="1:2">
      <c r="A563" s="3" t="s">
        <v>1992</v>
      </c>
      <c r="B563" s="3" t="s">
        <v>1993</v>
      </c>
    </row>
    <row r="564" spans="1:2">
      <c r="A564" s="3" t="s">
        <v>1994</v>
      </c>
      <c r="B564" s="3" t="s">
        <v>1995</v>
      </c>
    </row>
    <row r="565" spans="1:2">
      <c r="A565" s="3" t="s">
        <v>1996</v>
      </c>
      <c r="B565" s="3" t="s">
        <v>1997</v>
      </c>
    </row>
    <row r="566" spans="1:2">
      <c r="A566" s="3" t="s">
        <v>1998</v>
      </c>
      <c r="B566" s="3" t="s">
        <v>1999</v>
      </c>
    </row>
    <row r="567" spans="1:2">
      <c r="A567" s="3" t="s">
        <v>2000</v>
      </c>
      <c r="B567" s="3" t="s">
        <v>2001</v>
      </c>
    </row>
    <row r="568" spans="1:2">
      <c r="A568" s="3" t="s">
        <v>2002</v>
      </c>
      <c r="B568" s="3" t="s">
        <v>2003</v>
      </c>
    </row>
    <row r="569" spans="1:2">
      <c r="A569" s="3" t="s">
        <v>2004</v>
      </c>
      <c r="B569" s="3" t="s">
        <v>2005</v>
      </c>
    </row>
    <row r="570" spans="1:2">
      <c r="A570" s="3" t="s">
        <v>2006</v>
      </c>
      <c r="B570" s="3" t="s">
        <v>2007</v>
      </c>
    </row>
    <row r="571" spans="1:2">
      <c r="A571" s="3" t="s">
        <v>2008</v>
      </c>
      <c r="B571" s="3" t="s">
        <v>2009</v>
      </c>
    </row>
    <row r="572" spans="1:2">
      <c r="A572" s="3" t="s">
        <v>2010</v>
      </c>
      <c r="B572" s="3" t="s">
        <v>2011</v>
      </c>
    </row>
    <row r="573" spans="1:2">
      <c r="A573" s="3" t="s">
        <v>2012</v>
      </c>
      <c r="B573" s="3" t="s">
        <v>2013</v>
      </c>
    </row>
    <row r="574" spans="1:2">
      <c r="A574" s="3" t="s">
        <v>2014</v>
      </c>
      <c r="B574" s="3" t="s">
        <v>2015</v>
      </c>
    </row>
    <row r="575" spans="1:2">
      <c r="A575" s="3" t="s">
        <v>2016</v>
      </c>
      <c r="B575" s="3" t="s">
        <v>2017</v>
      </c>
    </row>
    <row r="576" spans="1:2">
      <c r="A576" s="3" t="s">
        <v>2018</v>
      </c>
      <c r="B576" s="3" t="s">
        <v>2019</v>
      </c>
    </row>
    <row r="577" spans="1:2">
      <c r="A577" s="3" t="s">
        <v>2020</v>
      </c>
      <c r="B577" s="3" t="s">
        <v>2021</v>
      </c>
    </row>
    <row r="578" spans="1:2">
      <c r="A578" s="3" t="s">
        <v>2022</v>
      </c>
      <c r="B578" s="3" t="s">
        <v>2023</v>
      </c>
    </row>
    <row r="579" spans="1:2">
      <c r="A579" s="3" t="s">
        <v>2024</v>
      </c>
      <c r="B579" s="3" t="s">
        <v>2025</v>
      </c>
    </row>
    <row r="580" spans="1:2">
      <c r="A580" s="3" t="s">
        <v>2026</v>
      </c>
      <c r="B580" s="3" t="s">
        <v>2027</v>
      </c>
    </row>
    <row r="581" spans="1:2">
      <c r="A581" s="3" t="s">
        <v>2028</v>
      </c>
      <c r="B581" s="3" t="s">
        <v>2029</v>
      </c>
    </row>
    <row r="582" spans="1:2">
      <c r="A582" s="3" t="s">
        <v>2030</v>
      </c>
      <c r="B582" s="3" t="s">
        <v>2031</v>
      </c>
    </row>
    <row r="583" spans="1:2">
      <c r="A583" s="3" t="s">
        <v>2032</v>
      </c>
      <c r="B583" s="3" t="s">
        <v>2033</v>
      </c>
    </row>
    <row r="584" spans="1:2">
      <c r="A584" s="3" t="s">
        <v>2034</v>
      </c>
      <c r="B584" s="3" t="s">
        <v>2035</v>
      </c>
    </row>
    <row r="585" spans="1:2">
      <c r="A585" s="3" t="s">
        <v>2036</v>
      </c>
      <c r="B585" s="3" t="s">
        <v>2037</v>
      </c>
    </row>
    <row r="586" spans="1:2">
      <c r="A586" s="3" t="s">
        <v>2038</v>
      </c>
      <c r="B586" s="3" t="s">
        <v>2039</v>
      </c>
    </row>
    <row r="587" spans="1:2">
      <c r="A587" s="3" t="s">
        <v>2040</v>
      </c>
      <c r="B587" s="3" t="s">
        <v>2041</v>
      </c>
    </row>
    <row r="588" spans="1:2">
      <c r="A588" s="3" t="s">
        <v>2042</v>
      </c>
      <c r="B588" s="3" t="s">
        <v>2043</v>
      </c>
    </row>
    <row r="589" spans="1:2">
      <c r="A589" s="3" t="s">
        <v>2044</v>
      </c>
      <c r="B589" s="3" t="s">
        <v>2045</v>
      </c>
    </row>
    <row r="590" spans="1:2">
      <c r="A590" s="3" t="s">
        <v>2046</v>
      </c>
      <c r="B590" s="3" t="s">
        <v>2047</v>
      </c>
    </row>
    <row r="591" spans="1:2">
      <c r="A591" s="3" t="s">
        <v>2048</v>
      </c>
      <c r="B591" s="3" t="s">
        <v>2049</v>
      </c>
    </row>
    <row r="592" spans="1:2">
      <c r="A592" s="3" t="s">
        <v>2050</v>
      </c>
      <c r="B592" s="3" t="s">
        <v>2051</v>
      </c>
    </row>
    <row r="593" spans="1:2">
      <c r="A593" s="3" t="s">
        <v>2052</v>
      </c>
      <c r="B593" s="3" t="s">
        <v>2053</v>
      </c>
    </row>
    <row r="594" spans="1:2">
      <c r="A594" s="3" t="s">
        <v>2054</v>
      </c>
      <c r="B594" s="3" t="s">
        <v>2055</v>
      </c>
    </row>
    <row r="595" spans="1:2">
      <c r="A595" s="3" t="s">
        <v>2056</v>
      </c>
      <c r="B595" s="3" t="s">
        <v>2057</v>
      </c>
    </row>
    <row r="596" spans="1:2">
      <c r="A596" s="3" t="s">
        <v>2058</v>
      </c>
      <c r="B596" s="3" t="s">
        <v>2059</v>
      </c>
    </row>
    <row r="597" spans="1:2">
      <c r="A597" s="3" t="s">
        <v>2060</v>
      </c>
      <c r="B597" s="3" t="s">
        <v>2061</v>
      </c>
    </row>
    <row r="598" spans="1:2">
      <c r="A598" s="3" t="s">
        <v>2062</v>
      </c>
      <c r="B598" s="3" t="s">
        <v>2063</v>
      </c>
    </row>
    <row r="599" spans="1:2">
      <c r="A599" s="3" t="s">
        <v>2064</v>
      </c>
      <c r="B599" s="3" t="s">
        <v>2065</v>
      </c>
    </row>
    <row r="600" spans="1:2">
      <c r="A600" s="3" t="s">
        <v>2066</v>
      </c>
      <c r="B600" s="3" t="s">
        <v>2067</v>
      </c>
    </row>
    <row r="601" spans="1:2">
      <c r="A601" s="3" t="s">
        <v>2068</v>
      </c>
      <c r="B601" s="3" t="s">
        <v>2069</v>
      </c>
    </row>
    <row r="602" spans="1:2">
      <c r="A602" s="3" t="s">
        <v>2070</v>
      </c>
      <c r="B602" s="3" t="s">
        <v>2071</v>
      </c>
    </row>
    <row r="603" spans="1:2">
      <c r="A603" s="3" t="s">
        <v>2072</v>
      </c>
      <c r="B603" s="3" t="s">
        <v>2073</v>
      </c>
    </row>
    <row r="604" spans="1:2">
      <c r="A604" s="3" t="s">
        <v>2074</v>
      </c>
      <c r="B604" s="3" t="s">
        <v>2075</v>
      </c>
    </row>
    <row r="605" spans="1:2">
      <c r="A605" s="3" t="s">
        <v>2076</v>
      </c>
      <c r="B605" s="3" t="s">
        <v>2077</v>
      </c>
    </row>
    <row r="606" spans="1:2">
      <c r="A606" s="3" t="s">
        <v>2078</v>
      </c>
      <c r="B606" s="3" t="s">
        <v>2079</v>
      </c>
    </row>
    <row r="607" spans="1:2">
      <c r="A607" s="3" t="s">
        <v>2080</v>
      </c>
      <c r="B607" s="3" t="s">
        <v>2081</v>
      </c>
    </row>
    <row r="608" spans="1:2">
      <c r="A608" s="3" t="s">
        <v>2082</v>
      </c>
      <c r="B608" s="3" t="s">
        <v>2083</v>
      </c>
    </row>
    <row r="609" spans="1:2">
      <c r="A609" s="3" t="s">
        <v>2084</v>
      </c>
      <c r="B609" s="3" t="s">
        <v>2085</v>
      </c>
    </row>
    <row r="610" spans="1:2">
      <c r="A610" s="3" t="s">
        <v>2086</v>
      </c>
      <c r="B610" s="3" t="s">
        <v>2087</v>
      </c>
    </row>
    <row r="611" spans="1:2">
      <c r="A611" s="3" t="s">
        <v>2088</v>
      </c>
      <c r="B611" s="3" t="s">
        <v>2089</v>
      </c>
    </row>
    <row r="612" spans="1:2">
      <c r="A612" s="3" t="s">
        <v>2090</v>
      </c>
      <c r="B612" s="3" t="s">
        <v>2091</v>
      </c>
    </row>
    <row r="613" spans="1:2">
      <c r="A613" s="3" t="s">
        <v>2092</v>
      </c>
      <c r="B613" s="3" t="s">
        <v>2093</v>
      </c>
    </row>
    <row r="614" spans="1:2">
      <c r="A614" s="3" t="s">
        <v>2094</v>
      </c>
      <c r="B614" s="3" t="s">
        <v>2095</v>
      </c>
    </row>
    <row r="615" spans="1:2">
      <c r="A615" s="3" t="s">
        <v>2096</v>
      </c>
      <c r="B615" s="3" t="s">
        <v>2097</v>
      </c>
    </row>
    <row r="616" spans="1:2">
      <c r="A616" s="3" t="s">
        <v>2098</v>
      </c>
      <c r="B616" s="3" t="s">
        <v>2099</v>
      </c>
    </row>
    <row r="617" spans="1:2">
      <c r="A617" s="3" t="s">
        <v>2100</v>
      </c>
      <c r="B617" s="3" t="s">
        <v>2101</v>
      </c>
    </row>
    <row r="618" spans="1:2">
      <c r="A618" s="3" t="s">
        <v>2102</v>
      </c>
      <c r="B618" s="3" t="s">
        <v>2103</v>
      </c>
    </row>
    <row r="619" spans="1:2">
      <c r="A619" s="3" t="s">
        <v>2104</v>
      </c>
      <c r="B619" s="3" t="s">
        <v>2105</v>
      </c>
    </row>
    <row r="620" spans="1:2">
      <c r="A620" s="3" t="s">
        <v>2106</v>
      </c>
      <c r="B620" s="3" t="s">
        <v>2107</v>
      </c>
    </row>
    <row r="621" spans="1:2">
      <c r="A621" s="3" t="s">
        <v>2108</v>
      </c>
      <c r="B621" s="3" t="s">
        <v>2109</v>
      </c>
    </row>
    <row r="622" spans="1:2">
      <c r="A622" s="3" t="s">
        <v>2110</v>
      </c>
      <c r="B622" s="3" t="s">
        <v>2111</v>
      </c>
    </row>
    <row r="623" spans="1:2">
      <c r="A623" s="3" t="s">
        <v>2112</v>
      </c>
      <c r="B623" s="3" t="s">
        <v>2113</v>
      </c>
    </row>
    <row r="624" spans="1:2">
      <c r="A624" s="3" t="s">
        <v>2114</v>
      </c>
      <c r="B624" s="3" t="s">
        <v>2115</v>
      </c>
    </row>
    <row r="625" spans="1:2">
      <c r="A625" s="3" t="s">
        <v>2116</v>
      </c>
      <c r="B625" s="3" t="s">
        <v>2117</v>
      </c>
    </row>
    <row r="626" spans="1:2">
      <c r="A626" s="3" t="s">
        <v>2118</v>
      </c>
      <c r="B626" s="3" t="s">
        <v>2119</v>
      </c>
    </row>
    <row r="627" spans="1:2">
      <c r="A627" s="3" t="s">
        <v>2120</v>
      </c>
      <c r="B627" s="3" t="s">
        <v>2121</v>
      </c>
    </row>
    <row r="628" spans="1:2">
      <c r="A628" s="3" t="s">
        <v>2122</v>
      </c>
      <c r="B628" s="3" t="s">
        <v>2123</v>
      </c>
    </row>
    <row r="629" spans="1:2">
      <c r="A629" s="3" t="s">
        <v>2124</v>
      </c>
      <c r="B629" s="3" t="s">
        <v>2125</v>
      </c>
    </row>
    <row r="630" spans="1:2">
      <c r="A630" s="3" t="s">
        <v>2126</v>
      </c>
      <c r="B630" s="3" t="s">
        <v>2127</v>
      </c>
    </row>
    <row r="631" spans="1:2">
      <c r="A631" s="3" t="s">
        <v>2128</v>
      </c>
      <c r="B631" s="3" t="s">
        <v>2129</v>
      </c>
    </row>
    <row r="632" spans="1:2">
      <c r="A632" s="3" t="s">
        <v>2130</v>
      </c>
      <c r="B632" s="3" t="s">
        <v>2131</v>
      </c>
    </row>
    <row r="633" spans="1:2">
      <c r="A633" s="3" t="s">
        <v>2132</v>
      </c>
      <c r="B633" s="3" t="s">
        <v>2133</v>
      </c>
    </row>
    <row r="634" spans="1:2">
      <c r="A634" s="3" t="s">
        <v>2134</v>
      </c>
      <c r="B634" s="3" t="s">
        <v>2135</v>
      </c>
    </row>
    <row r="635" spans="1:2">
      <c r="A635" s="3" t="s">
        <v>2136</v>
      </c>
      <c r="B635" s="3" t="s">
        <v>2137</v>
      </c>
    </row>
    <row r="636" spans="1:2">
      <c r="A636" s="3" t="s">
        <v>2138</v>
      </c>
      <c r="B636" s="3" t="s">
        <v>2139</v>
      </c>
    </row>
    <row r="637" spans="1:2">
      <c r="A637" s="3" t="s">
        <v>2140</v>
      </c>
      <c r="B637" s="3" t="s">
        <v>2141</v>
      </c>
    </row>
    <row r="638" spans="1:2">
      <c r="A638" s="3" t="s">
        <v>2142</v>
      </c>
      <c r="B638" s="3" t="s">
        <v>2143</v>
      </c>
    </row>
    <row r="639" spans="1:2">
      <c r="A639" s="3" t="s">
        <v>2144</v>
      </c>
      <c r="B639" s="3" t="s">
        <v>2145</v>
      </c>
    </row>
    <row r="640" spans="1:2">
      <c r="A640" s="3" t="s">
        <v>2146</v>
      </c>
      <c r="B640" s="3" t="s">
        <v>2147</v>
      </c>
    </row>
    <row r="641" spans="1:2">
      <c r="A641" s="3" t="s">
        <v>2148</v>
      </c>
      <c r="B641" s="3" t="s">
        <v>2149</v>
      </c>
    </row>
    <row r="642" spans="1:2">
      <c r="A642" s="3" t="s">
        <v>2150</v>
      </c>
      <c r="B642" s="3" t="s">
        <v>2151</v>
      </c>
    </row>
    <row r="643" spans="1:2">
      <c r="A643" s="3" t="s">
        <v>2152</v>
      </c>
      <c r="B643" s="3" t="s">
        <v>2153</v>
      </c>
    </row>
    <row r="644" spans="1:2">
      <c r="A644" s="3" t="s">
        <v>2154</v>
      </c>
      <c r="B644" s="3" t="s">
        <v>2155</v>
      </c>
    </row>
    <row r="645" spans="1:2">
      <c r="A645" s="3" t="s">
        <v>2156</v>
      </c>
      <c r="B645" s="3" t="s">
        <v>2157</v>
      </c>
    </row>
    <row r="646" spans="1:2">
      <c r="A646" s="3" t="s">
        <v>2158</v>
      </c>
      <c r="B646" s="3" t="s">
        <v>2159</v>
      </c>
    </row>
    <row r="647" spans="1:2">
      <c r="A647" s="3" t="s">
        <v>2160</v>
      </c>
      <c r="B647" s="3" t="s">
        <v>2161</v>
      </c>
    </row>
    <row r="648" spans="1:2">
      <c r="A648" s="3" t="s">
        <v>2162</v>
      </c>
      <c r="B648" s="3" t="s">
        <v>2163</v>
      </c>
    </row>
    <row r="649" spans="1:2">
      <c r="A649" s="3" t="s">
        <v>2164</v>
      </c>
      <c r="B649" s="3" t="s">
        <v>2165</v>
      </c>
    </row>
    <row r="650" spans="1:2">
      <c r="A650" s="3" t="s">
        <v>2166</v>
      </c>
      <c r="B650" s="3" t="s">
        <v>2167</v>
      </c>
    </row>
    <row r="651" spans="1:2">
      <c r="A651" s="3" t="s">
        <v>2168</v>
      </c>
      <c r="B651" s="3" t="s">
        <v>2169</v>
      </c>
    </row>
    <row r="652" spans="1:2">
      <c r="A652" s="3" t="s">
        <v>2170</v>
      </c>
      <c r="B652" s="3" t="s">
        <v>2171</v>
      </c>
    </row>
    <row r="653" spans="1:2">
      <c r="A653" s="3" t="s">
        <v>2172</v>
      </c>
      <c r="B653" s="3" t="s">
        <v>2173</v>
      </c>
    </row>
    <row r="654" spans="1:2">
      <c r="A654" s="3" t="s">
        <v>2174</v>
      </c>
      <c r="B654" s="3" t="s">
        <v>2175</v>
      </c>
    </row>
    <row r="655" spans="1:2">
      <c r="A655" s="3" t="s">
        <v>2176</v>
      </c>
      <c r="B655" s="3" t="s">
        <v>2177</v>
      </c>
    </row>
    <row r="656" spans="1:2">
      <c r="A656" s="3" t="s">
        <v>2178</v>
      </c>
      <c r="B656" s="3" t="s">
        <v>2179</v>
      </c>
    </row>
    <row r="657" spans="1:2">
      <c r="A657" s="3" t="s">
        <v>2180</v>
      </c>
      <c r="B657" s="3" t="s">
        <v>2181</v>
      </c>
    </row>
    <row r="658" spans="1:2">
      <c r="A658" s="3" t="s">
        <v>2182</v>
      </c>
      <c r="B658" s="3" t="s">
        <v>2183</v>
      </c>
    </row>
    <row r="659" spans="1:2">
      <c r="A659" s="3" t="s">
        <v>2184</v>
      </c>
      <c r="B659" s="3" t="s">
        <v>2185</v>
      </c>
    </row>
    <row r="660" spans="1:2">
      <c r="A660" s="3" t="s">
        <v>2186</v>
      </c>
      <c r="B660" s="3" t="s">
        <v>2187</v>
      </c>
    </row>
    <row r="661" spans="1:2">
      <c r="A661" s="3" t="s">
        <v>2188</v>
      </c>
      <c r="B661" s="3" t="s">
        <v>2189</v>
      </c>
    </row>
    <row r="662" spans="1:2">
      <c r="A662" s="3" t="s">
        <v>2190</v>
      </c>
      <c r="B662" s="3" t="s">
        <v>2191</v>
      </c>
    </row>
    <row r="663" spans="1:2">
      <c r="A663" s="3" t="s">
        <v>2192</v>
      </c>
      <c r="B663" s="3" t="s">
        <v>2193</v>
      </c>
    </row>
    <row r="664" spans="1:2">
      <c r="A664" s="3" t="s">
        <v>2194</v>
      </c>
      <c r="B664" s="3" t="s">
        <v>2195</v>
      </c>
    </row>
    <row r="665" spans="1:2">
      <c r="A665" s="3" t="s">
        <v>2196</v>
      </c>
      <c r="B665" s="3" t="s">
        <v>2197</v>
      </c>
    </row>
    <row r="666" spans="1:2">
      <c r="A666" s="3" t="s">
        <v>2198</v>
      </c>
      <c r="B666" s="3" t="s">
        <v>2199</v>
      </c>
    </row>
    <row r="667" spans="1:2">
      <c r="A667" s="3" t="s">
        <v>2200</v>
      </c>
      <c r="B667" s="3" t="s">
        <v>2201</v>
      </c>
    </row>
    <row r="668" spans="1:2">
      <c r="A668" s="3" t="s">
        <v>2202</v>
      </c>
      <c r="B668" s="3" t="s">
        <v>2203</v>
      </c>
    </row>
    <row r="669" spans="1:2">
      <c r="A669" s="3" t="s">
        <v>2204</v>
      </c>
      <c r="B669" s="3" t="s">
        <v>2205</v>
      </c>
    </row>
    <row r="670" spans="1:2">
      <c r="A670" s="3" t="s">
        <v>2206</v>
      </c>
      <c r="B670" s="3" t="s">
        <v>2207</v>
      </c>
    </row>
    <row r="671" spans="1:2">
      <c r="A671" s="3" t="s">
        <v>2208</v>
      </c>
      <c r="B671" s="3" t="s">
        <v>2209</v>
      </c>
    </row>
    <row r="672" spans="1:2">
      <c r="A672" s="3" t="s">
        <v>2210</v>
      </c>
      <c r="B672" s="3" t="s">
        <v>2211</v>
      </c>
    </row>
    <row r="673" spans="1:2">
      <c r="A673" s="3" t="s">
        <v>2212</v>
      </c>
      <c r="B673" s="3" t="s">
        <v>2213</v>
      </c>
    </row>
    <row r="674" spans="1:2">
      <c r="A674" s="3" t="s">
        <v>2214</v>
      </c>
      <c r="B674" s="3" t="s">
        <v>2215</v>
      </c>
    </row>
    <row r="675" spans="1:2">
      <c r="A675" s="3" t="s">
        <v>2216</v>
      </c>
      <c r="B675" s="3" t="s">
        <v>2217</v>
      </c>
    </row>
    <row r="676" spans="1:2">
      <c r="A676" s="3" t="s">
        <v>2218</v>
      </c>
      <c r="B676" s="3" t="s">
        <v>2219</v>
      </c>
    </row>
    <row r="677" spans="1:2">
      <c r="A677" s="3" t="s">
        <v>2220</v>
      </c>
      <c r="B677" s="3" t="s">
        <v>2221</v>
      </c>
    </row>
    <row r="678" spans="1:2">
      <c r="A678" s="3" t="s">
        <v>2222</v>
      </c>
      <c r="B678" s="3" t="s">
        <v>2223</v>
      </c>
    </row>
    <row r="679" spans="1:2">
      <c r="A679" s="3" t="s">
        <v>2224</v>
      </c>
      <c r="B679" s="3" t="s">
        <v>2225</v>
      </c>
    </row>
    <row r="680" spans="1:2">
      <c r="A680" s="3" t="s">
        <v>2226</v>
      </c>
      <c r="B680" s="3" t="s">
        <v>2227</v>
      </c>
    </row>
    <row r="681" spans="1:2">
      <c r="A681" s="3" t="s">
        <v>2228</v>
      </c>
      <c r="B681" s="3" t="s">
        <v>2229</v>
      </c>
    </row>
    <row r="682" spans="1:2">
      <c r="A682" s="3" t="s">
        <v>2230</v>
      </c>
      <c r="B682" s="3" t="s">
        <v>2231</v>
      </c>
    </row>
    <row r="683" spans="1:2">
      <c r="A683" s="3" t="s">
        <v>2232</v>
      </c>
      <c r="B683" s="3" t="s">
        <v>2233</v>
      </c>
    </row>
    <row r="684" spans="1:2">
      <c r="A684" s="3" t="s">
        <v>2234</v>
      </c>
      <c r="B684" s="3" t="s">
        <v>2235</v>
      </c>
    </row>
    <row r="685" spans="1:2">
      <c r="A685" s="3" t="s">
        <v>2236</v>
      </c>
      <c r="B685" s="3" t="s">
        <v>2237</v>
      </c>
    </row>
    <row r="686" spans="1:2">
      <c r="A686" s="3" t="s">
        <v>2238</v>
      </c>
      <c r="B686" s="3" t="s">
        <v>2239</v>
      </c>
    </row>
    <row r="687" spans="1:2">
      <c r="A687" s="3" t="s">
        <v>2240</v>
      </c>
      <c r="B687" s="3" t="s">
        <v>2241</v>
      </c>
    </row>
    <row r="688" spans="1:2">
      <c r="A688" s="3" t="s">
        <v>2242</v>
      </c>
      <c r="B688" s="3" t="s">
        <v>2243</v>
      </c>
    </row>
    <row r="689" spans="1:2">
      <c r="A689" s="3" t="s">
        <v>2244</v>
      </c>
      <c r="B689" s="3" t="s">
        <v>2245</v>
      </c>
    </row>
    <row r="690" spans="1:2">
      <c r="A690" s="3" t="s">
        <v>2246</v>
      </c>
      <c r="B690" s="3" t="s">
        <v>2247</v>
      </c>
    </row>
    <row r="691" spans="1:2">
      <c r="A691" s="3" t="s">
        <v>2248</v>
      </c>
      <c r="B691" s="3" t="s">
        <v>2249</v>
      </c>
    </row>
    <row r="692" spans="1:2">
      <c r="A692" s="3" t="s">
        <v>2250</v>
      </c>
      <c r="B692" s="3" t="s">
        <v>2251</v>
      </c>
    </row>
    <row r="693" spans="1:2">
      <c r="A693" s="3" t="s">
        <v>2252</v>
      </c>
      <c r="B693" s="3" t="s">
        <v>2253</v>
      </c>
    </row>
    <row r="694" spans="1:2">
      <c r="A694" s="3" t="s">
        <v>2254</v>
      </c>
      <c r="B694" s="3" t="s">
        <v>2255</v>
      </c>
    </row>
    <row r="695" spans="1:2">
      <c r="A695" s="3" t="s">
        <v>2256</v>
      </c>
      <c r="B695" s="3" t="s">
        <v>2257</v>
      </c>
    </row>
    <row r="696" spans="1:2">
      <c r="A696" s="3" t="s">
        <v>2258</v>
      </c>
      <c r="B696" s="3" t="s">
        <v>2259</v>
      </c>
    </row>
    <row r="697" spans="1:2">
      <c r="A697" s="3" t="s">
        <v>2260</v>
      </c>
      <c r="B697" s="3" t="s">
        <v>2261</v>
      </c>
    </row>
    <row r="698" spans="1:2">
      <c r="A698" s="3" t="s">
        <v>2262</v>
      </c>
      <c r="B698" s="3" t="s">
        <v>2263</v>
      </c>
    </row>
    <row r="699" spans="1:2">
      <c r="A699" s="3" t="s">
        <v>2264</v>
      </c>
      <c r="B699" s="3" t="s">
        <v>2265</v>
      </c>
    </row>
    <row r="700" spans="1:2">
      <c r="A700" s="3" t="s">
        <v>2266</v>
      </c>
      <c r="B700" s="3" t="s">
        <v>2267</v>
      </c>
    </row>
    <row r="701" spans="1:2">
      <c r="A701" s="3" t="s">
        <v>2268</v>
      </c>
      <c r="B701" s="3" t="s">
        <v>2269</v>
      </c>
    </row>
    <row r="702" spans="1:2">
      <c r="A702" s="3" t="s">
        <v>2270</v>
      </c>
      <c r="B702" s="3" t="s">
        <v>2271</v>
      </c>
    </row>
    <row r="703" spans="1:2">
      <c r="A703" s="3" t="s">
        <v>2272</v>
      </c>
      <c r="B703" s="3" t="s">
        <v>2273</v>
      </c>
    </row>
    <row r="704" spans="1:2">
      <c r="A704" s="3" t="s">
        <v>2274</v>
      </c>
      <c r="B704" s="3" t="s">
        <v>2275</v>
      </c>
    </row>
    <row r="705" spans="1:2">
      <c r="A705" s="3" t="s">
        <v>2276</v>
      </c>
      <c r="B705" s="3" t="s">
        <v>2277</v>
      </c>
    </row>
    <row r="706" spans="1:2">
      <c r="A706" s="3" t="s">
        <v>2278</v>
      </c>
      <c r="B706" s="3" t="s">
        <v>2279</v>
      </c>
    </row>
    <row r="707" spans="1:2">
      <c r="A707" s="3" t="s">
        <v>2280</v>
      </c>
      <c r="B707" s="3" t="s">
        <v>2281</v>
      </c>
    </row>
    <row r="708" spans="1:2">
      <c r="A708" s="3" t="s">
        <v>2282</v>
      </c>
      <c r="B708" s="3" t="s">
        <v>2283</v>
      </c>
    </row>
    <row r="709" spans="1:2">
      <c r="A709" s="3" t="s">
        <v>2284</v>
      </c>
      <c r="B709" s="3" t="s">
        <v>2285</v>
      </c>
    </row>
    <row r="710" spans="1:2">
      <c r="A710" s="3" t="s">
        <v>2286</v>
      </c>
      <c r="B710" s="3" t="s">
        <v>2287</v>
      </c>
    </row>
    <row r="711" spans="1:2">
      <c r="A711" s="3" t="s">
        <v>2288</v>
      </c>
      <c r="B711" s="3" t="s">
        <v>2289</v>
      </c>
    </row>
    <row r="712" spans="1:2">
      <c r="A712" s="3" t="s">
        <v>2290</v>
      </c>
      <c r="B712" s="3" t="s">
        <v>2291</v>
      </c>
    </row>
    <row r="713" spans="1:2">
      <c r="A713" s="3" t="s">
        <v>2292</v>
      </c>
      <c r="B713" s="3" t="s">
        <v>2293</v>
      </c>
    </row>
    <row r="714" spans="1:2">
      <c r="A714" s="3" t="s">
        <v>2294</v>
      </c>
      <c r="B714" s="3" t="s">
        <v>2295</v>
      </c>
    </row>
    <row r="715" spans="1:2">
      <c r="A715" s="3" t="s">
        <v>2296</v>
      </c>
      <c r="B715" s="3" t="s">
        <v>2297</v>
      </c>
    </row>
    <row r="716" spans="1:2">
      <c r="A716" s="3" t="s">
        <v>2298</v>
      </c>
      <c r="B716" s="3" t="s">
        <v>2299</v>
      </c>
    </row>
    <row r="717" spans="1:2">
      <c r="A717" s="3" t="s">
        <v>208</v>
      </c>
      <c r="B717" s="3" t="s">
        <v>2300</v>
      </c>
    </row>
    <row r="718" spans="1:2">
      <c r="A718" s="3" t="s">
        <v>621</v>
      </c>
      <c r="B718" s="3" t="s">
        <v>2301</v>
      </c>
    </row>
    <row r="719" spans="1:2">
      <c r="A719" s="3" t="s">
        <v>2302</v>
      </c>
      <c r="B719" s="3" t="s">
        <v>2303</v>
      </c>
    </row>
    <row r="720" spans="1:2">
      <c r="A720" s="3" t="s">
        <v>2304</v>
      </c>
      <c r="B720" s="3" t="s">
        <v>2305</v>
      </c>
    </row>
    <row r="721" spans="1:2">
      <c r="A721" s="3" t="s">
        <v>2306</v>
      </c>
      <c r="B721" s="3" t="s">
        <v>2307</v>
      </c>
    </row>
    <row r="722" spans="1:2">
      <c r="A722" s="3" t="s">
        <v>2308</v>
      </c>
      <c r="B722" s="3" t="s">
        <v>2309</v>
      </c>
    </row>
    <row r="723" spans="1:2">
      <c r="A723" s="3" t="s">
        <v>2310</v>
      </c>
      <c r="B723" s="3" t="s">
        <v>2311</v>
      </c>
    </row>
    <row r="724" spans="1:2">
      <c r="A724" s="3" t="s">
        <v>2312</v>
      </c>
      <c r="B724" s="3" t="s">
        <v>2313</v>
      </c>
    </row>
    <row r="725" spans="1:2">
      <c r="A725" s="3" t="s">
        <v>2314</v>
      </c>
      <c r="B725" s="3" t="s">
        <v>2315</v>
      </c>
    </row>
    <row r="726" spans="1:2">
      <c r="A726" s="3" t="s">
        <v>2316</v>
      </c>
      <c r="B726" s="3" t="s">
        <v>2317</v>
      </c>
    </row>
    <row r="727" spans="1:2">
      <c r="A727" s="3" t="s">
        <v>2318</v>
      </c>
      <c r="B727" s="3" t="s">
        <v>2319</v>
      </c>
    </row>
    <row r="728" spans="1:2">
      <c r="A728" s="3" t="s">
        <v>2320</v>
      </c>
      <c r="B728" s="3" t="s">
        <v>2321</v>
      </c>
    </row>
    <row r="729" spans="1:2">
      <c r="A729" s="3" t="s">
        <v>2322</v>
      </c>
      <c r="B729" s="3" t="s">
        <v>2323</v>
      </c>
    </row>
    <row r="730" spans="1:2">
      <c r="A730" s="3" t="s">
        <v>2324</v>
      </c>
      <c r="B730" s="3" t="s">
        <v>2325</v>
      </c>
    </row>
    <row r="731" spans="1:2">
      <c r="A731" s="3" t="s">
        <v>2326</v>
      </c>
      <c r="B731" s="3" t="s">
        <v>2327</v>
      </c>
    </row>
    <row r="732" spans="1:2">
      <c r="A732" s="3" t="s">
        <v>2328</v>
      </c>
      <c r="B732" s="3" t="s">
        <v>2329</v>
      </c>
    </row>
    <row r="733" spans="1:2">
      <c r="A733" s="3" t="s">
        <v>2330</v>
      </c>
      <c r="B733" s="3" t="s">
        <v>2331</v>
      </c>
    </row>
    <row r="734" spans="1:2">
      <c r="A734" s="3" t="s">
        <v>2332</v>
      </c>
      <c r="B734" s="3" t="s">
        <v>2333</v>
      </c>
    </row>
    <row r="735" spans="1:2">
      <c r="A735" s="3" t="s">
        <v>2334</v>
      </c>
      <c r="B735" s="3" t="s">
        <v>2335</v>
      </c>
    </row>
    <row r="736" spans="1:2">
      <c r="A736" s="3" t="s">
        <v>2336</v>
      </c>
      <c r="B736" s="3" t="s">
        <v>2337</v>
      </c>
    </row>
    <row r="737" spans="1:2">
      <c r="A737" s="3" t="s">
        <v>2338</v>
      </c>
      <c r="B737" s="3" t="s">
        <v>2339</v>
      </c>
    </row>
    <row r="738" spans="1:2">
      <c r="A738" s="3" t="s">
        <v>2340</v>
      </c>
      <c r="B738" s="3" t="s">
        <v>2341</v>
      </c>
    </row>
    <row r="739" spans="1:2">
      <c r="A739" s="3" t="s">
        <v>2342</v>
      </c>
      <c r="B739" s="3" t="s">
        <v>2343</v>
      </c>
    </row>
    <row r="740" spans="1:2">
      <c r="A740" s="3" t="s">
        <v>2344</v>
      </c>
      <c r="B740" s="3" t="s">
        <v>2345</v>
      </c>
    </row>
    <row r="741" spans="1:2">
      <c r="A741" s="3" t="s">
        <v>2346</v>
      </c>
      <c r="B741" s="3" t="s">
        <v>2347</v>
      </c>
    </row>
    <row r="742" spans="1:2">
      <c r="A742" s="3" t="s">
        <v>2348</v>
      </c>
      <c r="B742" s="3" t="s">
        <v>2349</v>
      </c>
    </row>
    <row r="743" spans="1:2">
      <c r="A743" s="3" t="s">
        <v>2350</v>
      </c>
      <c r="B743" s="3" t="s">
        <v>2351</v>
      </c>
    </row>
    <row r="744" spans="1:2">
      <c r="A744" s="3" t="s">
        <v>2352</v>
      </c>
      <c r="B744" s="3" t="s">
        <v>2353</v>
      </c>
    </row>
    <row r="745" spans="1:2">
      <c r="A745" s="3" t="s">
        <v>2354</v>
      </c>
      <c r="B745" s="3" t="s">
        <v>2355</v>
      </c>
    </row>
    <row r="746" spans="1:2">
      <c r="A746" s="3" t="s">
        <v>2356</v>
      </c>
      <c r="B746" s="3" t="s">
        <v>2357</v>
      </c>
    </row>
    <row r="747" spans="1:2">
      <c r="A747" s="3" t="s">
        <v>2358</v>
      </c>
      <c r="B747" s="3" t="s">
        <v>2359</v>
      </c>
    </row>
    <row r="748" spans="1:2">
      <c r="A748" s="3" t="s">
        <v>2360</v>
      </c>
      <c r="B748" s="3" t="s">
        <v>2361</v>
      </c>
    </row>
    <row r="749" spans="1:2">
      <c r="A749" s="3" t="s">
        <v>2362</v>
      </c>
      <c r="B749" s="3" t="s">
        <v>2363</v>
      </c>
    </row>
    <row r="750" spans="1:2">
      <c r="A750" s="3" t="s">
        <v>2364</v>
      </c>
      <c r="B750" s="3" t="s">
        <v>2365</v>
      </c>
    </row>
    <row r="751" spans="1:2">
      <c r="A751" s="3" t="s">
        <v>2366</v>
      </c>
      <c r="B751" s="3" t="s">
        <v>2367</v>
      </c>
    </row>
    <row r="752" spans="1:2">
      <c r="A752" s="3" t="s">
        <v>2368</v>
      </c>
      <c r="B752" s="3" t="s">
        <v>2369</v>
      </c>
    </row>
    <row r="753" spans="1:2">
      <c r="A753" s="3" t="s">
        <v>2370</v>
      </c>
      <c r="B753" s="3" t="s">
        <v>2371</v>
      </c>
    </row>
    <row r="754" spans="1:2">
      <c r="A754" s="3" t="s">
        <v>2372</v>
      </c>
      <c r="B754" s="3" t="s">
        <v>2373</v>
      </c>
    </row>
    <row r="755" spans="1:2">
      <c r="A755" s="3" t="s">
        <v>2374</v>
      </c>
      <c r="B755" s="3" t="s">
        <v>2375</v>
      </c>
    </row>
    <row r="756" spans="1:2">
      <c r="A756" s="3" t="s">
        <v>2376</v>
      </c>
      <c r="B756" s="3" t="s">
        <v>2377</v>
      </c>
    </row>
    <row r="757" spans="1:2">
      <c r="A757" s="3" t="s">
        <v>2378</v>
      </c>
      <c r="B757" s="3" t="s">
        <v>2379</v>
      </c>
    </row>
    <row r="758" spans="1:2">
      <c r="A758" s="3" t="s">
        <v>2380</v>
      </c>
      <c r="B758" s="3" t="s">
        <v>2381</v>
      </c>
    </row>
    <row r="759" spans="1:2">
      <c r="A759" s="3" t="s">
        <v>2382</v>
      </c>
      <c r="B759" s="3" t="s">
        <v>2383</v>
      </c>
    </row>
    <row r="760" spans="1:2">
      <c r="A760" s="3" t="s">
        <v>2384</v>
      </c>
      <c r="B760" s="3" t="s">
        <v>2385</v>
      </c>
    </row>
    <row r="761" spans="1:2">
      <c r="A761" s="3" t="s">
        <v>2386</v>
      </c>
      <c r="B761" s="3" t="s">
        <v>2387</v>
      </c>
    </row>
    <row r="762" spans="1:2">
      <c r="A762" s="3" t="s">
        <v>2388</v>
      </c>
      <c r="B762" s="3" t="s">
        <v>2389</v>
      </c>
    </row>
    <row r="763" spans="1:2">
      <c r="A763" s="3" t="s">
        <v>2390</v>
      </c>
      <c r="B763" s="3" t="s">
        <v>2391</v>
      </c>
    </row>
    <row r="764" spans="1:2">
      <c r="A764" s="3" t="s">
        <v>2392</v>
      </c>
      <c r="B764" s="3" t="s">
        <v>2393</v>
      </c>
    </row>
    <row r="765" spans="1:2">
      <c r="A765" s="3" t="s">
        <v>2394</v>
      </c>
      <c r="B765" s="3" t="s">
        <v>2395</v>
      </c>
    </row>
    <row r="766" spans="1:2">
      <c r="A766" s="3" t="s">
        <v>2396</v>
      </c>
      <c r="B766" s="3" t="s">
        <v>2397</v>
      </c>
    </row>
    <row r="767" spans="1:2">
      <c r="A767" s="3" t="s">
        <v>2398</v>
      </c>
      <c r="B767" s="3" t="s">
        <v>2399</v>
      </c>
    </row>
    <row r="768" spans="1:2">
      <c r="A768" s="3" t="s">
        <v>2400</v>
      </c>
      <c r="B768" s="3" t="s">
        <v>2401</v>
      </c>
    </row>
    <row r="769" spans="1:2">
      <c r="A769" s="3" t="s">
        <v>2402</v>
      </c>
      <c r="B769" s="3" t="s">
        <v>2403</v>
      </c>
    </row>
    <row r="770" spans="1:2">
      <c r="A770" s="3" t="s">
        <v>2404</v>
      </c>
      <c r="B770" s="3" t="s">
        <v>2405</v>
      </c>
    </row>
    <row r="771" spans="1:2">
      <c r="A771" s="3" t="s">
        <v>2406</v>
      </c>
      <c r="B771" s="3" t="s">
        <v>2407</v>
      </c>
    </row>
    <row r="772" spans="1:2">
      <c r="A772" s="3" t="s">
        <v>2408</v>
      </c>
      <c r="B772" s="3" t="s">
        <v>2409</v>
      </c>
    </row>
    <row r="773" spans="1:2">
      <c r="A773" s="3" t="s">
        <v>2410</v>
      </c>
      <c r="B773" s="3" t="s">
        <v>2411</v>
      </c>
    </row>
    <row r="774" spans="1:2">
      <c r="A774" s="3" t="s">
        <v>2412</v>
      </c>
      <c r="B774" s="3" t="s">
        <v>2413</v>
      </c>
    </row>
    <row r="775" spans="1:2">
      <c r="A775" s="3" t="s">
        <v>2414</v>
      </c>
      <c r="B775" s="3" t="s">
        <v>2415</v>
      </c>
    </row>
    <row r="776" spans="1:2">
      <c r="A776" s="3" t="s">
        <v>2416</v>
      </c>
      <c r="B776" s="3" t="s">
        <v>2417</v>
      </c>
    </row>
    <row r="777" spans="1:2">
      <c r="A777" s="3" t="s">
        <v>2418</v>
      </c>
      <c r="B777" s="3" t="s">
        <v>2419</v>
      </c>
    </row>
    <row r="778" spans="1:2">
      <c r="A778" s="3" t="s">
        <v>2420</v>
      </c>
      <c r="B778" s="3" t="s">
        <v>2421</v>
      </c>
    </row>
    <row r="779" spans="1:2">
      <c r="A779" s="3" t="s">
        <v>2422</v>
      </c>
      <c r="B779" s="3" t="s">
        <v>2423</v>
      </c>
    </row>
    <row r="780" spans="1:2">
      <c r="A780" s="3" t="s">
        <v>2424</v>
      </c>
      <c r="B780" s="3" t="s">
        <v>2425</v>
      </c>
    </row>
    <row r="781" spans="1:2">
      <c r="A781" s="3" t="s">
        <v>2426</v>
      </c>
      <c r="B781" s="3" t="s">
        <v>2427</v>
      </c>
    </row>
    <row r="782" spans="1:2">
      <c r="A782" s="3" t="s">
        <v>2428</v>
      </c>
      <c r="B782" s="3" t="s">
        <v>2429</v>
      </c>
    </row>
    <row r="783" spans="1:2">
      <c r="A783" s="3" t="s">
        <v>2430</v>
      </c>
      <c r="B783" s="3" t="s">
        <v>2431</v>
      </c>
    </row>
    <row r="784" spans="1:2">
      <c r="A784" s="3" t="s">
        <v>2432</v>
      </c>
      <c r="B784" s="3" t="s">
        <v>2433</v>
      </c>
    </row>
    <row r="785" spans="1:2">
      <c r="A785" s="3" t="s">
        <v>2434</v>
      </c>
      <c r="B785" s="3" t="s">
        <v>2435</v>
      </c>
    </row>
    <row r="786" spans="1:2">
      <c r="A786" s="3" t="s">
        <v>2436</v>
      </c>
      <c r="B786" s="3" t="s">
        <v>2437</v>
      </c>
    </row>
    <row r="787" spans="1:2">
      <c r="A787" s="3" t="s">
        <v>2438</v>
      </c>
      <c r="B787" s="3" t="s">
        <v>2439</v>
      </c>
    </row>
    <row r="788" spans="1:2">
      <c r="A788" s="3" t="s">
        <v>2440</v>
      </c>
      <c r="B788" s="3" t="s">
        <v>2441</v>
      </c>
    </row>
    <row r="789" spans="1:2">
      <c r="A789" s="3" t="s">
        <v>2442</v>
      </c>
      <c r="B789" s="3" t="s">
        <v>2443</v>
      </c>
    </row>
    <row r="790" spans="1:2">
      <c r="A790" s="3" t="s">
        <v>2444</v>
      </c>
      <c r="B790" s="3" t="s">
        <v>2445</v>
      </c>
    </row>
    <row r="791" spans="1:2">
      <c r="A791" s="3" t="s">
        <v>2446</v>
      </c>
      <c r="B791" s="3" t="s">
        <v>2447</v>
      </c>
    </row>
    <row r="792" spans="1:2">
      <c r="A792" s="3" t="s">
        <v>2448</v>
      </c>
      <c r="B792" s="3" t="s">
        <v>2449</v>
      </c>
    </row>
    <row r="793" spans="1:2">
      <c r="A793" s="3" t="s">
        <v>2450</v>
      </c>
      <c r="B793" s="3" t="s">
        <v>2451</v>
      </c>
    </row>
    <row r="794" spans="1:2">
      <c r="A794" s="3" t="s">
        <v>2452</v>
      </c>
      <c r="B794" s="3" t="s">
        <v>2453</v>
      </c>
    </row>
    <row r="795" spans="1:2">
      <c r="A795" s="3" t="s">
        <v>2454</v>
      </c>
      <c r="B795" s="3" t="s">
        <v>2455</v>
      </c>
    </row>
    <row r="796" spans="1:2">
      <c r="A796" s="3" t="s">
        <v>2456</v>
      </c>
      <c r="B796" s="3" t="s">
        <v>2457</v>
      </c>
    </row>
    <row r="797" spans="1:2">
      <c r="A797" s="3" t="s">
        <v>2458</v>
      </c>
      <c r="B797" s="3" t="s">
        <v>2459</v>
      </c>
    </row>
    <row r="798" spans="1:2">
      <c r="A798" s="3" t="s">
        <v>2460</v>
      </c>
      <c r="B798" s="3" t="s">
        <v>2461</v>
      </c>
    </row>
    <row r="799" spans="1:2">
      <c r="A799" s="3" t="s">
        <v>2462</v>
      </c>
      <c r="B799" s="3" t="s">
        <v>2463</v>
      </c>
    </row>
    <row r="800" spans="1:2">
      <c r="A800" s="3" t="s">
        <v>2464</v>
      </c>
      <c r="B800" s="3" t="s">
        <v>2465</v>
      </c>
    </row>
    <row r="801" spans="1:2">
      <c r="A801" s="3" t="s">
        <v>2466</v>
      </c>
      <c r="B801" s="3" t="s">
        <v>2467</v>
      </c>
    </row>
    <row r="802" spans="1:2">
      <c r="A802" s="3" t="s">
        <v>2468</v>
      </c>
      <c r="B802" s="3" t="s">
        <v>2469</v>
      </c>
    </row>
    <row r="803" spans="1:2">
      <c r="A803" s="3" t="s">
        <v>2470</v>
      </c>
      <c r="B803" s="3" t="s">
        <v>2471</v>
      </c>
    </row>
    <row r="804" spans="1:2">
      <c r="A804" s="3" t="s">
        <v>2472</v>
      </c>
      <c r="B804" s="3" t="s">
        <v>2473</v>
      </c>
    </row>
    <row r="805" spans="1:2">
      <c r="A805" s="3" t="s">
        <v>2474</v>
      </c>
      <c r="B805" s="3" t="s">
        <v>2475</v>
      </c>
    </row>
    <row r="806" spans="1:2">
      <c r="A806" s="3" t="s">
        <v>2476</v>
      </c>
      <c r="B806" s="3" t="s">
        <v>2477</v>
      </c>
    </row>
    <row r="807" spans="1:2">
      <c r="A807" s="3" t="s">
        <v>2478</v>
      </c>
      <c r="B807" s="3" t="s">
        <v>2479</v>
      </c>
    </row>
    <row r="808" spans="1:2">
      <c r="A808" s="3" t="s">
        <v>2480</v>
      </c>
      <c r="B808" s="3" t="s">
        <v>2481</v>
      </c>
    </row>
    <row r="809" spans="1:2">
      <c r="A809" s="3" t="s">
        <v>2482</v>
      </c>
      <c r="B809" s="3" t="s">
        <v>2483</v>
      </c>
    </row>
    <row r="810" spans="1:2">
      <c r="A810" s="3" t="s">
        <v>2484</v>
      </c>
      <c r="B810" s="3" t="s">
        <v>2485</v>
      </c>
    </row>
    <row r="811" spans="1:2">
      <c r="A811" s="3" t="s">
        <v>2486</v>
      </c>
      <c r="B811" s="3" t="s">
        <v>2487</v>
      </c>
    </row>
    <row r="812" spans="1:2">
      <c r="A812" s="3" t="s">
        <v>2488</v>
      </c>
      <c r="B812" s="3" t="s">
        <v>2489</v>
      </c>
    </row>
    <row r="813" spans="1:2">
      <c r="A813" s="3" t="s">
        <v>2490</v>
      </c>
      <c r="B813" s="3" t="s">
        <v>2491</v>
      </c>
    </row>
    <row r="814" spans="1:2">
      <c r="A814" s="3" t="s">
        <v>2492</v>
      </c>
      <c r="B814" s="3" t="s">
        <v>2493</v>
      </c>
    </row>
    <row r="815" spans="1:2">
      <c r="A815" s="3" t="s">
        <v>2494</v>
      </c>
      <c r="B815" s="3" t="s">
        <v>2495</v>
      </c>
    </row>
    <row r="816" spans="1:2">
      <c r="A816" s="3" t="s">
        <v>2496</v>
      </c>
      <c r="B816" s="3" t="s">
        <v>2497</v>
      </c>
    </row>
    <row r="817" spans="1:2">
      <c r="A817" s="3" t="s">
        <v>2498</v>
      </c>
      <c r="B817" s="3" t="s">
        <v>2499</v>
      </c>
    </row>
    <row r="818" spans="1:2">
      <c r="A818" s="3" t="s">
        <v>2500</v>
      </c>
      <c r="B818" s="3" t="s">
        <v>2501</v>
      </c>
    </row>
    <row r="819" spans="1:2">
      <c r="A819" s="3" t="s">
        <v>2502</v>
      </c>
      <c r="B819" s="3" t="s">
        <v>2503</v>
      </c>
    </row>
    <row r="820" spans="1:2">
      <c r="A820" s="3" t="s">
        <v>2504</v>
      </c>
      <c r="B820" s="3" t="s">
        <v>2505</v>
      </c>
    </row>
    <row r="821" spans="1:2">
      <c r="A821" s="3" t="s">
        <v>2506</v>
      </c>
      <c r="B821" s="3" t="s">
        <v>2507</v>
      </c>
    </row>
    <row r="822" spans="1:2">
      <c r="A822" s="3" t="s">
        <v>2508</v>
      </c>
      <c r="B822" s="3" t="s">
        <v>2509</v>
      </c>
    </row>
    <row r="823" spans="1:2">
      <c r="A823" s="3" t="s">
        <v>2510</v>
      </c>
      <c r="B823" s="3" t="s">
        <v>2511</v>
      </c>
    </row>
    <row r="824" spans="1:2">
      <c r="A824" s="3" t="s">
        <v>2512</v>
      </c>
      <c r="B824" s="3" t="s">
        <v>2513</v>
      </c>
    </row>
    <row r="825" spans="1:2">
      <c r="A825" s="3" t="s">
        <v>2514</v>
      </c>
      <c r="B825" s="3" t="s">
        <v>2515</v>
      </c>
    </row>
    <row r="826" spans="1:2">
      <c r="A826" s="3" t="s">
        <v>2516</v>
      </c>
      <c r="B826" s="3" t="s">
        <v>2517</v>
      </c>
    </row>
    <row r="827" spans="1:2">
      <c r="A827" s="3" t="s">
        <v>2518</v>
      </c>
      <c r="B827" s="3" t="s">
        <v>2519</v>
      </c>
    </row>
    <row r="828" spans="1:2">
      <c r="A828" s="3" t="s">
        <v>2520</v>
      </c>
      <c r="B828" s="3" t="s">
        <v>2521</v>
      </c>
    </row>
    <row r="829" spans="1:2">
      <c r="A829" s="3" t="s">
        <v>2522</v>
      </c>
      <c r="B829" s="3" t="s">
        <v>2523</v>
      </c>
    </row>
    <row r="830" spans="1:2">
      <c r="A830" s="3" t="s">
        <v>2524</v>
      </c>
      <c r="B830" s="3" t="s">
        <v>2525</v>
      </c>
    </row>
    <row r="831" spans="1:2">
      <c r="A831" s="3" t="s">
        <v>2526</v>
      </c>
      <c r="B831" s="3" t="s">
        <v>2527</v>
      </c>
    </row>
    <row r="832" spans="1:2">
      <c r="A832" s="3" t="s">
        <v>2528</v>
      </c>
      <c r="B832" s="3" t="s">
        <v>2529</v>
      </c>
    </row>
    <row r="833" spans="1:2">
      <c r="A833" s="3" t="s">
        <v>2530</v>
      </c>
      <c r="B833" s="3" t="s">
        <v>2531</v>
      </c>
    </row>
    <row r="834" spans="1:2">
      <c r="A834" s="3" t="s">
        <v>2532</v>
      </c>
      <c r="B834" s="3" t="s">
        <v>2533</v>
      </c>
    </row>
    <row r="835" spans="1:2">
      <c r="A835" s="3" t="s">
        <v>2534</v>
      </c>
      <c r="B835" s="3" t="s">
        <v>2535</v>
      </c>
    </row>
    <row r="836" spans="1:2">
      <c r="A836" s="3" t="s">
        <v>2536</v>
      </c>
      <c r="B836" s="3" t="s">
        <v>2537</v>
      </c>
    </row>
    <row r="837" spans="1:2">
      <c r="A837" s="3" t="s">
        <v>2538</v>
      </c>
      <c r="B837" s="3" t="s">
        <v>2539</v>
      </c>
    </row>
    <row r="838" spans="1:2">
      <c r="A838" s="3" t="s">
        <v>2540</v>
      </c>
      <c r="B838" s="3" t="s">
        <v>2541</v>
      </c>
    </row>
    <row r="839" spans="1:2">
      <c r="A839" s="3" t="s">
        <v>2542</v>
      </c>
      <c r="B839" s="3" t="s">
        <v>2543</v>
      </c>
    </row>
    <row r="840" spans="1:2">
      <c r="A840" s="3" t="s">
        <v>2544</v>
      </c>
      <c r="B840" s="3" t="s">
        <v>2545</v>
      </c>
    </row>
    <row r="841" spans="1:2">
      <c r="A841" s="3" t="s">
        <v>2546</v>
      </c>
      <c r="B841" s="3" t="s">
        <v>2547</v>
      </c>
    </row>
    <row r="842" spans="1:2">
      <c r="A842" s="3" t="s">
        <v>2548</v>
      </c>
      <c r="B842" s="3" t="s">
        <v>2549</v>
      </c>
    </row>
    <row r="843" spans="1:2">
      <c r="A843" s="3" t="s">
        <v>2550</v>
      </c>
      <c r="B843" s="3" t="s">
        <v>2551</v>
      </c>
    </row>
    <row r="844" spans="1:2">
      <c r="A844" s="3" t="s">
        <v>2552</v>
      </c>
      <c r="B844" s="3" t="s">
        <v>2553</v>
      </c>
    </row>
    <row r="845" spans="1:2">
      <c r="A845" s="3" t="s">
        <v>2554</v>
      </c>
      <c r="B845" s="3" t="s">
        <v>2555</v>
      </c>
    </row>
    <row r="846" spans="1:2">
      <c r="A846" s="3" t="s">
        <v>2556</v>
      </c>
      <c r="B846" s="3" t="s">
        <v>2557</v>
      </c>
    </row>
    <row r="847" spans="1:2">
      <c r="A847" s="3" t="s">
        <v>2558</v>
      </c>
      <c r="B847" s="3" t="s">
        <v>2559</v>
      </c>
    </row>
    <row r="848" spans="1:2">
      <c r="A848" s="3" t="s">
        <v>2560</v>
      </c>
      <c r="B848" s="3" t="s">
        <v>2561</v>
      </c>
    </row>
    <row r="849" spans="1:2">
      <c r="A849" s="3" t="s">
        <v>2562</v>
      </c>
      <c r="B849" s="3" t="s">
        <v>2563</v>
      </c>
    </row>
    <row r="850" spans="1:2">
      <c r="A850" s="3" t="s">
        <v>2564</v>
      </c>
      <c r="B850" s="3" t="s">
        <v>2565</v>
      </c>
    </row>
    <row r="851" spans="1:2">
      <c r="A851" s="3" t="s">
        <v>2566</v>
      </c>
      <c r="B851" s="3" t="s">
        <v>2567</v>
      </c>
    </row>
    <row r="852" spans="1:2">
      <c r="A852" s="3" t="s">
        <v>2568</v>
      </c>
      <c r="B852" s="3" t="s">
        <v>2569</v>
      </c>
    </row>
    <row r="853" spans="1:2">
      <c r="A853" s="3" t="s">
        <v>2570</v>
      </c>
      <c r="B853" s="3" t="s">
        <v>2571</v>
      </c>
    </row>
    <row r="854" spans="1:2">
      <c r="A854" s="3" t="s">
        <v>2572</v>
      </c>
      <c r="B854" s="3" t="s">
        <v>2573</v>
      </c>
    </row>
    <row r="855" spans="1:2">
      <c r="A855" s="3" t="s">
        <v>2574</v>
      </c>
      <c r="B855" s="3" t="s">
        <v>2575</v>
      </c>
    </row>
    <row r="856" spans="1:2">
      <c r="A856" s="3" t="s">
        <v>2576</v>
      </c>
      <c r="B856" s="3" t="s">
        <v>2577</v>
      </c>
    </row>
    <row r="857" spans="1:2">
      <c r="A857" s="3" t="s">
        <v>2578</v>
      </c>
      <c r="B857" s="3" t="s">
        <v>2579</v>
      </c>
    </row>
    <row r="858" spans="1:2">
      <c r="A858" s="3" t="s">
        <v>2580</v>
      </c>
      <c r="B858" s="3" t="s">
        <v>2581</v>
      </c>
    </row>
    <row r="859" spans="1:2">
      <c r="A859" s="3" t="s">
        <v>2582</v>
      </c>
      <c r="B859" s="3" t="s">
        <v>2583</v>
      </c>
    </row>
    <row r="860" spans="1:2">
      <c r="A860" s="3" t="s">
        <v>2584</v>
      </c>
      <c r="B860" s="3" t="s">
        <v>2585</v>
      </c>
    </row>
    <row r="861" spans="1:2">
      <c r="A861" s="3" t="s">
        <v>2586</v>
      </c>
      <c r="B861" s="3" t="s">
        <v>2587</v>
      </c>
    </row>
    <row r="862" spans="1:2">
      <c r="A862" s="3" t="s">
        <v>2588</v>
      </c>
      <c r="B862" s="3" t="s">
        <v>2589</v>
      </c>
    </row>
    <row r="863" spans="1:2">
      <c r="A863" s="3" t="s">
        <v>2590</v>
      </c>
      <c r="B863" s="3" t="s">
        <v>2591</v>
      </c>
    </row>
    <row r="864" spans="1:2">
      <c r="A864" s="3" t="s">
        <v>2592</v>
      </c>
      <c r="B864" s="3" t="s">
        <v>2593</v>
      </c>
    </row>
    <row r="865" spans="1:2">
      <c r="A865" s="3" t="s">
        <v>2594</v>
      </c>
      <c r="B865" s="3" t="s">
        <v>2595</v>
      </c>
    </row>
    <row r="866" spans="1:2">
      <c r="A866" s="3" t="s">
        <v>2596</v>
      </c>
      <c r="B866" s="3" t="s">
        <v>2597</v>
      </c>
    </row>
    <row r="867" spans="1:2">
      <c r="A867" s="3" t="s">
        <v>2598</v>
      </c>
      <c r="B867" s="3" t="s">
        <v>2599</v>
      </c>
    </row>
    <row r="868" spans="1:2">
      <c r="A868" s="3" t="s">
        <v>2600</v>
      </c>
      <c r="B868" s="3" t="s">
        <v>2601</v>
      </c>
    </row>
    <row r="869" spans="1:2">
      <c r="A869" s="3" t="s">
        <v>2602</v>
      </c>
      <c r="B869" s="3" t="s">
        <v>2603</v>
      </c>
    </row>
    <row r="870" spans="1:2">
      <c r="A870" s="3" t="s">
        <v>2604</v>
      </c>
      <c r="B870" s="3" t="s">
        <v>2605</v>
      </c>
    </row>
    <row r="871" spans="1:2">
      <c r="A871" s="3" t="s">
        <v>2606</v>
      </c>
      <c r="B871" s="3" t="s">
        <v>2607</v>
      </c>
    </row>
    <row r="872" spans="1:2">
      <c r="A872" s="3" t="s">
        <v>2608</v>
      </c>
      <c r="B872" s="3" t="s">
        <v>2609</v>
      </c>
    </row>
    <row r="873" spans="1:2">
      <c r="A873" s="3" t="s">
        <v>2610</v>
      </c>
      <c r="B873" s="3" t="s">
        <v>2611</v>
      </c>
    </row>
    <row r="874" spans="1:2">
      <c r="A874" s="3" t="s">
        <v>2612</v>
      </c>
      <c r="B874" s="3" t="s">
        <v>2613</v>
      </c>
    </row>
    <row r="875" spans="1:2">
      <c r="A875" s="3" t="s">
        <v>2614</v>
      </c>
      <c r="B875" s="3" t="s">
        <v>2615</v>
      </c>
    </row>
    <row r="876" spans="1:2">
      <c r="A876" s="3" t="s">
        <v>2616</v>
      </c>
      <c r="B876" s="3" t="s">
        <v>2617</v>
      </c>
    </row>
    <row r="877" spans="1:2">
      <c r="A877" s="3" t="s">
        <v>2618</v>
      </c>
      <c r="B877" s="3" t="s">
        <v>2619</v>
      </c>
    </row>
    <row r="878" spans="1:2">
      <c r="A878" s="3" t="s">
        <v>2620</v>
      </c>
      <c r="B878" s="3" t="s">
        <v>2621</v>
      </c>
    </row>
    <row r="879" spans="1:2">
      <c r="A879" s="3" t="s">
        <v>2622</v>
      </c>
      <c r="B879" s="3" t="s">
        <v>2623</v>
      </c>
    </row>
    <row r="880" spans="1:2">
      <c r="A880" s="3" t="s">
        <v>2624</v>
      </c>
      <c r="B880" s="3" t="s">
        <v>2625</v>
      </c>
    </row>
    <row r="881" spans="1:2">
      <c r="A881" s="3" t="s">
        <v>2626</v>
      </c>
      <c r="B881" s="3" t="s">
        <v>2627</v>
      </c>
    </row>
    <row r="882" spans="1:2">
      <c r="A882" s="3" t="s">
        <v>2628</v>
      </c>
      <c r="B882" s="3" t="s">
        <v>2629</v>
      </c>
    </row>
    <row r="883" spans="1:2">
      <c r="A883" s="3" t="s">
        <v>2630</v>
      </c>
      <c r="B883" s="3" t="s">
        <v>2631</v>
      </c>
    </row>
    <row r="884" spans="1:2">
      <c r="A884" s="3" t="s">
        <v>2632</v>
      </c>
      <c r="B884" s="3" t="s">
        <v>2633</v>
      </c>
    </row>
    <row r="885" spans="1:2">
      <c r="A885" s="3" t="s">
        <v>2634</v>
      </c>
      <c r="B885" s="3" t="s">
        <v>2635</v>
      </c>
    </row>
    <row r="886" spans="1:2">
      <c r="A886" s="3" t="s">
        <v>2636</v>
      </c>
      <c r="B886" s="3" t="s">
        <v>2637</v>
      </c>
    </row>
    <row r="887" spans="1:2">
      <c r="A887" s="3" t="s">
        <v>2638</v>
      </c>
      <c r="B887" s="3" t="s">
        <v>2639</v>
      </c>
    </row>
    <row r="888" spans="1:2">
      <c r="A888" s="3" t="s">
        <v>2640</v>
      </c>
      <c r="B888" s="3" t="s">
        <v>2641</v>
      </c>
    </row>
    <row r="889" spans="1:2">
      <c r="A889" s="3" t="s">
        <v>2642</v>
      </c>
      <c r="B889" s="3" t="s">
        <v>2643</v>
      </c>
    </row>
    <row r="890" spans="1:2">
      <c r="A890" s="3" t="s">
        <v>2644</v>
      </c>
      <c r="B890" s="3" t="s">
        <v>2645</v>
      </c>
    </row>
    <row r="891" spans="1:2">
      <c r="A891" s="3" t="s">
        <v>2646</v>
      </c>
      <c r="B891" s="3" t="s">
        <v>2647</v>
      </c>
    </row>
    <row r="892" spans="1:2">
      <c r="A892" s="3" t="s">
        <v>2648</v>
      </c>
      <c r="B892" s="3" t="s">
        <v>2649</v>
      </c>
    </row>
    <row r="893" spans="1:2">
      <c r="A893" s="3" t="s">
        <v>2650</v>
      </c>
      <c r="B893" s="3" t="s">
        <v>2651</v>
      </c>
    </row>
    <row r="894" spans="1:2">
      <c r="A894" s="3" t="s">
        <v>2652</v>
      </c>
      <c r="B894" s="3" t="s">
        <v>2653</v>
      </c>
    </row>
    <row r="895" spans="1:2">
      <c r="A895" s="3" t="s">
        <v>2654</v>
      </c>
      <c r="B895" s="3" t="s">
        <v>2655</v>
      </c>
    </row>
    <row r="896" spans="1:2">
      <c r="A896" s="3" t="s">
        <v>2656</v>
      </c>
      <c r="B896" s="3" t="s">
        <v>2657</v>
      </c>
    </row>
    <row r="897" spans="1:2">
      <c r="A897" s="3" t="s">
        <v>2658</v>
      </c>
      <c r="B897" s="3" t="s">
        <v>2659</v>
      </c>
    </row>
    <row r="898" spans="1:2">
      <c r="A898" s="3" t="s">
        <v>2660</v>
      </c>
      <c r="B898" s="3" t="s">
        <v>2661</v>
      </c>
    </row>
    <row r="899" spans="1:2">
      <c r="A899" s="3" t="s">
        <v>2662</v>
      </c>
      <c r="B899" s="3" t="s">
        <v>2663</v>
      </c>
    </row>
    <row r="900" spans="1:2">
      <c r="A900" s="3" t="s">
        <v>2664</v>
      </c>
      <c r="B900" s="3" t="s">
        <v>2665</v>
      </c>
    </row>
    <row r="901" spans="1:2">
      <c r="A901" s="3" t="s">
        <v>2666</v>
      </c>
      <c r="B901" s="3" t="s">
        <v>2667</v>
      </c>
    </row>
    <row r="902" spans="1:2">
      <c r="A902" s="3" t="s">
        <v>2668</v>
      </c>
      <c r="B902" s="3" t="s">
        <v>2669</v>
      </c>
    </row>
    <row r="903" spans="1:2">
      <c r="A903" s="3" t="s">
        <v>2670</v>
      </c>
      <c r="B903" s="3" t="s">
        <v>2671</v>
      </c>
    </row>
    <row r="904" spans="1:2">
      <c r="A904" s="3" t="s">
        <v>2672</v>
      </c>
      <c r="B904" s="3" t="s">
        <v>2673</v>
      </c>
    </row>
    <row r="905" spans="1:2">
      <c r="A905" s="3" t="s">
        <v>2674</v>
      </c>
      <c r="B905" s="3" t="s">
        <v>2675</v>
      </c>
    </row>
    <row r="906" spans="1:2">
      <c r="A906" s="3" t="s">
        <v>2676</v>
      </c>
      <c r="B906" s="3" t="s">
        <v>2677</v>
      </c>
    </row>
    <row r="907" spans="1:2">
      <c r="A907" s="3" t="s">
        <v>2678</v>
      </c>
      <c r="B907" s="3" t="s">
        <v>2679</v>
      </c>
    </row>
    <row r="908" spans="1:2">
      <c r="A908" s="3" t="s">
        <v>2680</v>
      </c>
      <c r="B908" s="3" t="s">
        <v>2681</v>
      </c>
    </row>
    <row r="909" spans="1:2">
      <c r="A909" s="3" t="s">
        <v>2682</v>
      </c>
      <c r="B909" s="3" t="s">
        <v>2683</v>
      </c>
    </row>
    <row r="910" spans="1:2">
      <c r="A910" s="3" t="s">
        <v>2684</v>
      </c>
      <c r="B910" s="3" t="s">
        <v>2685</v>
      </c>
    </row>
    <row r="911" spans="1:2">
      <c r="A911" s="3" t="s">
        <v>2686</v>
      </c>
      <c r="B911" s="3" t="s">
        <v>2687</v>
      </c>
    </row>
    <row r="912" spans="1:2">
      <c r="A912" s="3" t="s">
        <v>2688</v>
      </c>
      <c r="B912" s="3" t="s">
        <v>2689</v>
      </c>
    </row>
    <row r="913" spans="1:2">
      <c r="A913" s="3" t="s">
        <v>2690</v>
      </c>
      <c r="B913" s="3" t="s">
        <v>2691</v>
      </c>
    </row>
    <row r="914" spans="1:2">
      <c r="A914" s="3" t="s">
        <v>2692</v>
      </c>
      <c r="B914" s="3" t="s">
        <v>2693</v>
      </c>
    </row>
    <row r="915" spans="1:2">
      <c r="A915" s="3" t="s">
        <v>2694</v>
      </c>
      <c r="B915" s="3" t="s">
        <v>2695</v>
      </c>
    </row>
    <row r="916" spans="1:2">
      <c r="A916" s="3" t="s">
        <v>2696</v>
      </c>
      <c r="B916" s="3" t="s">
        <v>2697</v>
      </c>
    </row>
    <row r="917" spans="1:2">
      <c r="A917" s="3" t="s">
        <v>2698</v>
      </c>
      <c r="B917" s="3" t="s">
        <v>2699</v>
      </c>
    </row>
    <row r="918" spans="1:2">
      <c r="A918" s="3" t="s">
        <v>2700</v>
      </c>
      <c r="B918" s="3" t="s">
        <v>2701</v>
      </c>
    </row>
    <row r="919" spans="1:2">
      <c r="A919" s="3" t="s">
        <v>2702</v>
      </c>
      <c r="B919" s="3" t="s">
        <v>2703</v>
      </c>
    </row>
    <row r="920" spans="1:2">
      <c r="A920" s="3" t="s">
        <v>2704</v>
      </c>
      <c r="B920" s="3" t="s">
        <v>2705</v>
      </c>
    </row>
    <row r="921" spans="1:2">
      <c r="A921" s="3" t="s">
        <v>2706</v>
      </c>
      <c r="B921" s="3" t="s">
        <v>2707</v>
      </c>
    </row>
    <row r="922" spans="1:2">
      <c r="A922" s="3" t="s">
        <v>2708</v>
      </c>
      <c r="B922" s="3" t="s">
        <v>2709</v>
      </c>
    </row>
    <row r="923" spans="1:2">
      <c r="A923" s="3" t="s">
        <v>2710</v>
      </c>
      <c r="B923" s="3" t="s">
        <v>2711</v>
      </c>
    </row>
    <row r="924" spans="1:2">
      <c r="A924" s="3" t="s">
        <v>2712</v>
      </c>
      <c r="B924" s="3" t="s">
        <v>2713</v>
      </c>
    </row>
    <row r="925" spans="1:2">
      <c r="A925" s="3" t="s">
        <v>2714</v>
      </c>
      <c r="B925" s="3" t="s">
        <v>2715</v>
      </c>
    </row>
    <row r="926" spans="1:2">
      <c r="A926" s="3" t="s">
        <v>2716</v>
      </c>
      <c r="B926" s="3" t="s">
        <v>2717</v>
      </c>
    </row>
    <row r="927" spans="1:2">
      <c r="A927" s="3" t="s">
        <v>2718</v>
      </c>
      <c r="B927" s="3" t="s">
        <v>2719</v>
      </c>
    </row>
    <row r="928" spans="1:2">
      <c r="A928" s="3" t="s">
        <v>2720</v>
      </c>
      <c r="B928" s="3" t="s">
        <v>2721</v>
      </c>
    </row>
    <row r="929" spans="1:2">
      <c r="A929" s="3" t="s">
        <v>2722</v>
      </c>
      <c r="B929" s="3" t="s">
        <v>2723</v>
      </c>
    </row>
    <row r="930" spans="1:2">
      <c r="A930" s="3" t="s">
        <v>2724</v>
      </c>
      <c r="B930" s="3" t="s">
        <v>2725</v>
      </c>
    </row>
    <row r="931" spans="1:2">
      <c r="A931" s="3" t="s">
        <v>2726</v>
      </c>
      <c r="B931" s="3" t="s">
        <v>2727</v>
      </c>
    </row>
    <row r="932" spans="1:2">
      <c r="A932" s="3" t="s">
        <v>2728</v>
      </c>
      <c r="B932" s="3" t="s">
        <v>2729</v>
      </c>
    </row>
    <row r="933" spans="1:2">
      <c r="A933" s="3" t="s">
        <v>2730</v>
      </c>
      <c r="B933" s="3" t="s">
        <v>2731</v>
      </c>
    </row>
    <row r="934" spans="1:2">
      <c r="A934" s="3" t="s">
        <v>2732</v>
      </c>
      <c r="B934" s="3" t="s">
        <v>2733</v>
      </c>
    </row>
    <row r="935" spans="1:2">
      <c r="A935" s="3" t="s">
        <v>2734</v>
      </c>
      <c r="B935" s="3" t="s">
        <v>2735</v>
      </c>
    </row>
    <row r="936" spans="1:2">
      <c r="A936" s="3" t="s">
        <v>2736</v>
      </c>
      <c r="B936" s="3" t="s">
        <v>2737</v>
      </c>
    </row>
    <row r="937" spans="1:2">
      <c r="A937" s="3" t="s">
        <v>2738</v>
      </c>
      <c r="B937" s="3" t="s">
        <v>2739</v>
      </c>
    </row>
    <row r="938" spans="1:2">
      <c r="A938" s="3" t="s">
        <v>2740</v>
      </c>
      <c r="B938" s="3" t="s">
        <v>2741</v>
      </c>
    </row>
    <row r="939" spans="1:2">
      <c r="A939" s="3" t="s">
        <v>2742</v>
      </c>
      <c r="B939" s="3" t="s">
        <v>2743</v>
      </c>
    </row>
    <row r="940" spans="1:2">
      <c r="A940" s="3" t="s">
        <v>2744</v>
      </c>
      <c r="B940" s="3" t="s">
        <v>2745</v>
      </c>
    </row>
    <row r="941" spans="1:2">
      <c r="A941" s="3" t="s">
        <v>2746</v>
      </c>
      <c r="B941" s="3" t="s">
        <v>2747</v>
      </c>
    </row>
    <row r="942" spans="1:2">
      <c r="A942" s="3" t="s">
        <v>2748</v>
      </c>
      <c r="B942" s="3" t="s">
        <v>2749</v>
      </c>
    </row>
    <row r="943" spans="1:2">
      <c r="A943" s="3" t="s">
        <v>2750</v>
      </c>
      <c r="B943" s="3" t="s">
        <v>2751</v>
      </c>
    </row>
    <row r="944" spans="1:2">
      <c r="A944" s="3" t="s">
        <v>2752</v>
      </c>
      <c r="B944" s="3" t="s">
        <v>2753</v>
      </c>
    </row>
    <row r="945" spans="1:2">
      <c r="A945" s="3" t="s">
        <v>2754</v>
      </c>
      <c r="B945" s="3" t="s">
        <v>2755</v>
      </c>
    </row>
    <row r="946" spans="1:2">
      <c r="A946" s="3" t="s">
        <v>2756</v>
      </c>
      <c r="B946" s="3" t="s">
        <v>2757</v>
      </c>
    </row>
    <row r="947" spans="1:2">
      <c r="A947" s="3" t="s">
        <v>2758</v>
      </c>
      <c r="B947" s="3" t="s">
        <v>2759</v>
      </c>
    </row>
    <row r="948" spans="1:2">
      <c r="A948" s="3" t="s">
        <v>2760</v>
      </c>
      <c r="B948" s="3" t="s">
        <v>2761</v>
      </c>
    </row>
    <row r="949" spans="1:2">
      <c r="A949" s="3" t="s">
        <v>2762</v>
      </c>
      <c r="B949" s="3" t="s">
        <v>2763</v>
      </c>
    </row>
    <row r="950" spans="1:2">
      <c r="A950" s="3" t="s">
        <v>2764</v>
      </c>
      <c r="B950" s="3" t="s">
        <v>2765</v>
      </c>
    </row>
    <row r="951" spans="1:2">
      <c r="A951" s="3" t="s">
        <v>2766</v>
      </c>
      <c r="B951" s="3" t="s">
        <v>2767</v>
      </c>
    </row>
    <row r="952" spans="1:2">
      <c r="A952" s="3" t="s">
        <v>2768</v>
      </c>
      <c r="B952" s="3" t="s">
        <v>2769</v>
      </c>
    </row>
    <row r="953" spans="1:2">
      <c r="A953" s="3" t="s">
        <v>2770</v>
      </c>
      <c r="B953" s="3" t="s">
        <v>2771</v>
      </c>
    </row>
    <row r="954" spans="1:2">
      <c r="A954" s="3" t="s">
        <v>2772</v>
      </c>
      <c r="B954" s="3" t="s">
        <v>2773</v>
      </c>
    </row>
    <row r="955" spans="1:2">
      <c r="A955" s="3" t="s">
        <v>2774</v>
      </c>
      <c r="B955" s="3" t="s">
        <v>2775</v>
      </c>
    </row>
    <row r="956" spans="1:2">
      <c r="A956" s="3" t="s">
        <v>2776</v>
      </c>
      <c r="B956" s="3" t="s">
        <v>2777</v>
      </c>
    </row>
    <row r="957" spans="1:2">
      <c r="A957" s="3" t="s">
        <v>2778</v>
      </c>
      <c r="B957" s="3" t="s">
        <v>2779</v>
      </c>
    </row>
    <row r="958" spans="1:2">
      <c r="A958" s="3" t="s">
        <v>2780</v>
      </c>
      <c r="B958" s="3" t="s">
        <v>2781</v>
      </c>
    </row>
    <row r="959" spans="1:2">
      <c r="A959" s="3" t="s">
        <v>2782</v>
      </c>
      <c r="B959" s="3" t="s">
        <v>2783</v>
      </c>
    </row>
    <row r="960" spans="1:2">
      <c r="A960" s="3" t="s">
        <v>2784</v>
      </c>
      <c r="B960" s="3" t="s">
        <v>2785</v>
      </c>
    </row>
    <row r="961" spans="1:2">
      <c r="A961" s="3" t="s">
        <v>2786</v>
      </c>
      <c r="B961" s="3" t="s">
        <v>2787</v>
      </c>
    </row>
    <row r="962" spans="1:2">
      <c r="A962" s="3" t="s">
        <v>2788</v>
      </c>
      <c r="B962" s="3" t="s">
        <v>2789</v>
      </c>
    </row>
    <row r="963" spans="1:2">
      <c r="A963" s="3" t="s">
        <v>2790</v>
      </c>
      <c r="B963" s="3" t="s">
        <v>2791</v>
      </c>
    </row>
    <row r="964" spans="1:2">
      <c r="A964" s="3" t="s">
        <v>2792</v>
      </c>
      <c r="B964" s="3" t="s">
        <v>2793</v>
      </c>
    </row>
    <row r="965" spans="1:2">
      <c r="A965" s="3" t="s">
        <v>2794</v>
      </c>
      <c r="B965" s="3" t="s">
        <v>2795</v>
      </c>
    </row>
    <row r="966" spans="1:2">
      <c r="A966" s="3" t="s">
        <v>2796</v>
      </c>
      <c r="B966" s="3" t="s">
        <v>2797</v>
      </c>
    </row>
    <row r="967" spans="1:2">
      <c r="A967" s="3" t="s">
        <v>2798</v>
      </c>
      <c r="B967" s="3" t="s">
        <v>2799</v>
      </c>
    </row>
    <row r="968" spans="1:2">
      <c r="A968" s="3" t="s">
        <v>2800</v>
      </c>
      <c r="B968" s="3" t="s">
        <v>2801</v>
      </c>
    </row>
    <row r="969" spans="1:2">
      <c r="A969" s="3" t="s">
        <v>2802</v>
      </c>
      <c r="B969" s="3" t="s">
        <v>2803</v>
      </c>
    </row>
    <row r="970" spans="1:2">
      <c r="A970" s="3" t="s">
        <v>2804</v>
      </c>
      <c r="B970" s="3" t="s">
        <v>2805</v>
      </c>
    </row>
    <row r="971" spans="1:2">
      <c r="A971" s="3" t="s">
        <v>2806</v>
      </c>
      <c r="B971" s="3" t="s">
        <v>2807</v>
      </c>
    </row>
    <row r="972" spans="1:2">
      <c r="A972" s="3" t="s">
        <v>2808</v>
      </c>
      <c r="B972" s="3" t="s">
        <v>2809</v>
      </c>
    </row>
    <row r="973" spans="1:2">
      <c r="A973" s="3" t="s">
        <v>2810</v>
      </c>
      <c r="B973" s="3" t="s">
        <v>2811</v>
      </c>
    </row>
    <row r="974" spans="1:2">
      <c r="A974" s="3" t="s">
        <v>2812</v>
      </c>
      <c r="B974" s="3" t="s">
        <v>2813</v>
      </c>
    </row>
    <row r="975" spans="1:2">
      <c r="A975" s="3" t="s">
        <v>2814</v>
      </c>
      <c r="B975" s="3" t="s">
        <v>2815</v>
      </c>
    </row>
    <row r="976" spans="1:2">
      <c r="A976" s="3" t="s">
        <v>2816</v>
      </c>
      <c r="B976" s="3" t="s">
        <v>2817</v>
      </c>
    </row>
    <row r="977" spans="1:2">
      <c r="A977" s="3" t="s">
        <v>2818</v>
      </c>
      <c r="B977" s="3" t="s">
        <v>2819</v>
      </c>
    </row>
    <row r="978" spans="1:2">
      <c r="A978" s="3" t="s">
        <v>2820</v>
      </c>
      <c r="B978" s="3" t="s">
        <v>2821</v>
      </c>
    </row>
    <row r="979" spans="1:2">
      <c r="A979" s="3" t="s">
        <v>2822</v>
      </c>
      <c r="B979" s="3" t="s">
        <v>2823</v>
      </c>
    </row>
    <row r="980" spans="1:2">
      <c r="A980" s="3" t="s">
        <v>2824</v>
      </c>
      <c r="B980" s="3" t="s">
        <v>2825</v>
      </c>
    </row>
    <row r="981" spans="1:2">
      <c r="A981" s="3" t="s">
        <v>2826</v>
      </c>
      <c r="B981" s="3" t="s">
        <v>2827</v>
      </c>
    </row>
    <row r="982" spans="1:2">
      <c r="A982" s="3" t="s">
        <v>2828</v>
      </c>
      <c r="B982" s="3" t="s">
        <v>2829</v>
      </c>
    </row>
    <row r="983" spans="1:2">
      <c r="A983" s="3" t="s">
        <v>2830</v>
      </c>
      <c r="B983" s="3" t="s">
        <v>2831</v>
      </c>
    </row>
    <row r="984" spans="1:2">
      <c r="A984" s="3" t="s">
        <v>2832</v>
      </c>
      <c r="B984" s="3" t="s">
        <v>2833</v>
      </c>
    </row>
    <row r="985" spans="1:2">
      <c r="A985" s="3" t="s">
        <v>2834</v>
      </c>
      <c r="B985" s="3" t="s">
        <v>2835</v>
      </c>
    </row>
    <row r="986" spans="1:2">
      <c r="A986" s="3" t="s">
        <v>2836</v>
      </c>
      <c r="B986" s="3" t="s">
        <v>2837</v>
      </c>
    </row>
    <row r="987" spans="1:2">
      <c r="A987" s="3" t="s">
        <v>2838</v>
      </c>
      <c r="B987" s="3" t="s">
        <v>2839</v>
      </c>
    </row>
    <row r="988" spans="1:2">
      <c r="A988" s="3" t="s">
        <v>2840</v>
      </c>
      <c r="B988" s="3" t="s">
        <v>2841</v>
      </c>
    </row>
    <row r="989" spans="1:2">
      <c r="A989" s="3" t="s">
        <v>2842</v>
      </c>
      <c r="B989" s="3" t="s">
        <v>2843</v>
      </c>
    </row>
    <row r="990" spans="1:2">
      <c r="A990" s="3" t="s">
        <v>2844</v>
      </c>
      <c r="B990" s="3" t="s">
        <v>2845</v>
      </c>
    </row>
    <row r="991" spans="1:2">
      <c r="A991" s="3" t="s">
        <v>2846</v>
      </c>
      <c r="B991" s="3" t="s">
        <v>2847</v>
      </c>
    </row>
    <row r="992" spans="1:2">
      <c r="A992" s="3" t="s">
        <v>2848</v>
      </c>
      <c r="B992" s="3" t="s">
        <v>2849</v>
      </c>
    </row>
    <row r="993" spans="1:2">
      <c r="A993" s="3" t="s">
        <v>2850</v>
      </c>
      <c r="B993" s="3" t="s">
        <v>2851</v>
      </c>
    </row>
    <row r="994" spans="1:2">
      <c r="A994" s="3" t="s">
        <v>2852</v>
      </c>
      <c r="B994" s="3" t="s">
        <v>2853</v>
      </c>
    </row>
    <row r="995" spans="1:2">
      <c r="A995" s="3" t="s">
        <v>2854</v>
      </c>
      <c r="B995" s="3" t="s">
        <v>2855</v>
      </c>
    </row>
    <row r="996" spans="1:2">
      <c r="A996" s="3" t="s">
        <v>2856</v>
      </c>
      <c r="B996" s="3" t="s">
        <v>2857</v>
      </c>
    </row>
    <row r="997" spans="1:2">
      <c r="A997" s="3" t="s">
        <v>2858</v>
      </c>
      <c r="B997" s="3" t="s">
        <v>2859</v>
      </c>
    </row>
    <row r="998" spans="1:2">
      <c r="A998" s="3" t="s">
        <v>2860</v>
      </c>
      <c r="B998" s="3" t="s">
        <v>2861</v>
      </c>
    </row>
    <row r="999" spans="1:2">
      <c r="A999" s="3" t="s">
        <v>2862</v>
      </c>
      <c r="B999" s="3" t="s">
        <v>2863</v>
      </c>
    </row>
    <row r="1000" spans="1:2">
      <c r="A1000" s="3" t="s">
        <v>2864</v>
      </c>
      <c r="B1000" s="3" t="s">
        <v>2865</v>
      </c>
    </row>
    <row r="1001" spans="1:2">
      <c r="A1001" s="3" t="s">
        <v>2866</v>
      </c>
      <c r="B1001" s="3" t="s">
        <v>2867</v>
      </c>
    </row>
    <row r="1002" spans="1:2">
      <c r="A1002" s="3" t="s">
        <v>2868</v>
      </c>
      <c r="B1002" s="3" t="s">
        <v>2869</v>
      </c>
    </row>
    <row r="1003" spans="1:2">
      <c r="A1003" s="3" t="s">
        <v>2870</v>
      </c>
      <c r="B1003" s="3" t="s">
        <v>2871</v>
      </c>
    </row>
    <row r="1004" spans="1:2">
      <c r="A1004" s="3" t="s">
        <v>2872</v>
      </c>
      <c r="B1004" s="3" t="s">
        <v>2873</v>
      </c>
    </row>
    <row r="1005" spans="1:2">
      <c r="A1005" s="3" t="s">
        <v>2874</v>
      </c>
      <c r="B1005" s="3" t="s">
        <v>2875</v>
      </c>
    </row>
    <row r="1006" spans="1:2">
      <c r="A1006" s="3" t="s">
        <v>2876</v>
      </c>
      <c r="B1006" s="3" t="s">
        <v>2877</v>
      </c>
    </row>
    <row r="1007" spans="1:2">
      <c r="A1007" s="3" t="s">
        <v>2878</v>
      </c>
      <c r="B1007" s="3" t="s">
        <v>2879</v>
      </c>
    </row>
    <row r="1008" spans="1:2">
      <c r="A1008" s="3" t="s">
        <v>2880</v>
      </c>
      <c r="B1008" s="3" t="s">
        <v>2881</v>
      </c>
    </row>
    <row r="1009" spans="1:2">
      <c r="A1009" s="3" t="s">
        <v>2882</v>
      </c>
      <c r="B1009" s="3" t="s">
        <v>2883</v>
      </c>
    </row>
    <row r="1010" spans="1:2">
      <c r="A1010" s="3" t="s">
        <v>2884</v>
      </c>
      <c r="B1010" s="3" t="s">
        <v>2885</v>
      </c>
    </row>
    <row r="1011" spans="1:2">
      <c r="A1011" s="3" t="s">
        <v>2886</v>
      </c>
      <c r="B1011" s="3" t="s">
        <v>2887</v>
      </c>
    </row>
    <row r="1012" spans="1:2">
      <c r="A1012" s="3" t="s">
        <v>2888</v>
      </c>
      <c r="B1012" s="3" t="s">
        <v>2889</v>
      </c>
    </row>
    <row r="1013" spans="1:2">
      <c r="A1013" s="3" t="s">
        <v>2890</v>
      </c>
      <c r="B1013" s="3" t="s">
        <v>2891</v>
      </c>
    </row>
    <row r="1014" spans="1:2">
      <c r="A1014" s="3" t="s">
        <v>2892</v>
      </c>
      <c r="B1014" s="3" t="s">
        <v>2893</v>
      </c>
    </row>
    <row r="1015" spans="1:2">
      <c r="A1015" s="3" t="s">
        <v>2894</v>
      </c>
      <c r="B1015" s="3" t="s">
        <v>2895</v>
      </c>
    </row>
    <row r="1016" spans="1:2">
      <c r="A1016" s="3" t="s">
        <v>2896</v>
      </c>
      <c r="B1016" s="3" t="s">
        <v>2897</v>
      </c>
    </row>
    <row r="1017" spans="1:2">
      <c r="A1017" s="3" t="s">
        <v>2898</v>
      </c>
      <c r="B1017" s="3" t="s">
        <v>2899</v>
      </c>
    </row>
    <row r="1018" spans="1:2">
      <c r="A1018" s="3" t="s">
        <v>2900</v>
      </c>
      <c r="B1018" s="3" t="s">
        <v>2901</v>
      </c>
    </row>
    <row r="1019" spans="1:2">
      <c r="A1019" s="3" t="s">
        <v>2902</v>
      </c>
      <c r="B1019" s="3" t="s">
        <v>2903</v>
      </c>
    </row>
    <row r="1020" spans="1:2">
      <c r="A1020" s="3" t="s">
        <v>2904</v>
      </c>
      <c r="B1020" s="3" t="s">
        <v>2905</v>
      </c>
    </row>
    <row r="1021" spans="1:2">
      <c r="A1021" s="3" t="s">
        <v>2906</v>
      </c>
      <c r="B1021" s="3" t="s">
        <v>2907</v>
      </c>
    </row>
    <row r="1022" spans="1:2">
      <c r="A1022" s="3" t="s">
        <v>2908</v>
      </c>
      <c r="B1022" s="3" t="s">
        <v>2909</v>
      </c>
    </row>
    <row r="1023" spans="1:2">
      <c r="A1023" s="3" t="s">
        <v>2910</v>
      </c>
      <c r="B1023" s="3" t="s">
        <v>2911</v>
      </c>
    </row>
    <row r="1024" spans="1:2">
      <c r="A1024" s="3" t="s">
        <v>2912</v>
      </c>
      <c r="B1024" s="3" t="s">
        <v>2913</v>
      </c>
    </row>
    <row r="1025" spans="1:2">
      <c r="A1025" s="3" t="s">
        <v>2914</v>
      </c>
      <c r="B1025" s="3" t="s">
        <v>2915</v>
      </c>
    </row>
    <row r="1026" spans="1:2">
      <c r="A1026" s="3" t="s">
        <v>2916</v>
      </c>
      <c r="B1026" s="3" t="s">
        <v>2917</v>
      </c>
    </row>
    <row r="1027" spans="1:2">
      <c r="A1027" s="3" t="s">
        <v>2918</v>
      </c>
      <c r="B1027" s="3" t="s">
        <v>2919</v>
      </c>
    </row>
    <row r="1028" spans="1:2">
      <c r="A1028" s="3" t="s">
        <v>2920</v>
      </c>
      <c r="B1028" s="3" t="s">
        <v>2921</v>
      </c>
    </row>
    <row r="1029" spans="1:2">
      <c r="A1029" s="3" t="s">
        <v>2922</v>
      </c>
      <c r="B1029" s="3" t="s">
        <v>2923</v>
      </c>
    </row>
    <row r="1030" spans="1:2">
      <c r="A1030" s="3" t="s">
        <v>2924</v>
      </c>
      <c r="B1030" s="3" t="s">
        <v>2925</v>
      </c>
    </row>
    <row r="1031" spans="1:2">
      <c r="A1031" s="3" t="s">
        <v>2926</v>
      </c>
      <c r="B1031" s="3" t="s">
        <v>2927</v>
      </c>
    </row>
    <row r="1032" spans="1:2">
      <c r="A1032" s="3" t="s">
        <v>2928</v>
      </c>
      <c r="B1032" s="3" t="s">
        <v>2929</v>
      </c>
    </row>
    <row r="1033" spans="1:2">
      <c r="A1033" s="3" t="s">
        <v>2930</v>
      </c>
      <c r="B1033" s="3" t="s">
        <v>2931</v>
      </c>
    </row>
    <row r="1034" spans="1:2">
      <c r="A1034" s="3" t="s">
        <v>2932</v>
      </c>
      <c r="B1034" s="3" t="s">
        <v>2933</v>
      </c>
    </row>
    <row r="1035" spans="1:2">
      <c r="A1035" s="3" t="s">
        <v>2934</v>
      </c>
      <c r="B1035" s="3" t="s">
        <v>2935</v>
      </c>
    </row>
    <row r="1036" spans="1:2">
      <c r="A1036" s="3" t="s">
        <v>2936</v>
      </c>
      <c r="B1036" s="3" t="s">
        <v>2937</v>
      </c>
    </row>
    <row r="1037" spans="1:2">
      <c r="A1037" s="3" t="s">
        <v>2938</v>
      </c>
      <c r="B1037" s="3" t="s">
        <v>2939</v>
      </c>
    </row>
    <row r="1038" spans="1:2">
      <c r="A1038" s="3" t="s">
        <v>2940</v>
      </c>
      <c r="B1038" s="3" t="s">
        <v>2941</v>
      </c>
    </row>
    <row r="1039" spans="1:2">
      <c r="A1039" s="3" t="s">
        <v>2942</v>
      </c>
      <c r="B1039" s="3" t="s">
        <v>2943</v>
      </c>
    </row>
    <row r="1040" spans="1:2">
      <c r="A1040" s="3" t="s">
        <v>2944</v>
      </c>
      <c r="B1040" s="3" t="s">
        <v>2945</v>
      </c>
    </row>
    <row r="1041" spans="1:2">
      <c r="A1041" s="3" t="s">
        <v>2946</v>
      </c>
      <c r="B1041" s="3" t="s">
        <v>2947</v>
      </c>
    </row>
    <row r="1042" spans="1:2">
      <c r="A1042" s="3" t="s">
        <v>2948</v>
      </c>
      <c r="B1042" s="3" t="s">
        <v>2949</v>
      </c>
    </row>
    <row r="1043" spans="1:2">
      <c r="A1043" s="3" t="s">
        <v>2950</v>
      </c>
      <c r="B1043" s="3" t="s">
        <v>2951</v>
      </c>
    </row>
    <row r="1044" spans="1:2">
      <c r="A1044" s="3" t="s">
        <v>2952</v>
      </c>
      <c r="B1044" s="3" t="s">
        <v>2953</v>
      </c>
    </row>
    <row r="1045" spans="1:2">
      <c r="A1045" s="3" t="s">
        <v>2954</v>
      </c>
      <c r="B1045" s="3" t="s">
        <v>2955</v>
      </c>
    </row>
    <row r="1046" spans="1:2">
      <c r="A1046" s="3" t="s">
        <v>2956</v>
      </c>
      <c r="B1046" s="3" t="s">
        <v>2957</v>
      </c>
    </row>
    <row r="1047" spans="1:2">
      <c r="A1047" s="3" t="s">
        <v>2958</v>
      </c>
      <c r="B1047" s="3" t="s">
        <v>2959</v>
      </c>
    </row>
    <row r="1048" spans="1:2">
      <c r="A1048" s="3" t="s">
        <v>2960</v>
      </c>
      <c r="B1048" s="3" t="s">
        <v>2961</v>
      </c>
    </row>
    <row r="1049" spans="1:2">
      <c r="A1049" s="3" t="s">
        <v>2962</v>
      </c>
      <c r="B1049" s="3" t="s">
        <v>2963</v>
      </c>
    </row>
    <row r="1050" spans="1:2">
      <c r="A1050" s="3" t="s">
        <v>2964</v>
      </c>
      <c r="B1050" s="3" t="s">
        <v>2965</v>
      </c>
    </row>
    <row r="1051" spans="1:2">
      <c r="A1051" s="3" t="s">
        <v>2966</v>
      </c>
      <c r="B1051" s="3" t="s">
        <v>2967</v>
      </c>
    </row>
    <row r="1052" spans="1:2">
      <c r="A1052" s="3" t="s">
        <v>616</v>
      </c>
      <c r="B1052" s="3" t="s">
        <v>2968</v>
      </c>
    </row>
    <row r="1053" spans="1:2">
      <c r="A1053" s="3" t="s">
        <v>2969</v>
      </c>
      <c r="B1053" s="3" t="s">
        <v>2970</v>
      </c>
    </row>
    <row r="1054" spans="1:2">
      <c r="A1054" s="3" t="s">
        <v>2971</v>
      </c>
      <c r="B1054" s="3" t="s">
        <v>2972</v>
      </c>
    </row>
    <row r="1055" spans="1:2">
      <c r="A1055" s="3" t="s">
        <v>2973</v>
      </c>
      <c r="B1055" s="3" t="s">
        <v>2974</v>
      </c>
    </row>
    <row r="1056" spans="1:2">
      <c r="A1056" s="3" t="s">
        <v>2975</v>
      </c>
      <c r="B1056" s="3" t="s">
        <v>2976</v>
      </c>
    </row>
    <row r="1057" spans="1:2">
      <c r="A1057" s="3" t="s">
        <v>2977</v>
      </c>
      <c r="B1057" s="3" t="s">
        <v>2978</v>
      </c>
    </row>
    <row r="1058" spans="1:2">
      <c r="A1058" s="3" t="s">
        <v>2979</v>
      </c>
      <c r="B1058" s="3" t="s">
        <v>2980</v>
      </c>
    </row>
    <row r="1059" spans="1:2">
      <c r="A1059" s="3" t="s">
        <v>2981</v>
      </c>
      <c r="B1059" s="3" t="s">
        <v>2982</v>
      </c>
    </row>
    <row r="1060" spans="1:2">
      <c r="A1060" s="3" t="s">
        <v>619</v>
      </c>
      <c r="B1060" s="3" t="s">
        <v>2983</v>
      </c>
    </row>
    <row r="1061" spans="1:2">
      <c r="A1061" s="3" t="s">
        <v>2984</v>
      </c>
      <c r="B1061" s="3" t="s">
        <v>2985</v>
      </c>
    </row>
    <row r="1062" spans="1:2">
      <c r="A1062" s="3" t="s">
        <v>2986</v>
      </c>
      <c r="B1062" s="3" t="s">
        <v>2987</v>
      </c>
    </row>
    <row r="1063" spans="1:2">
      <c r="A1063" s="3" t="s">
        <v>2988</v>
      </c>
      <c r="B1063" s="3" t="s">
        <v>2989</v>
      </c>
    </row>
    <row r="1064" spans="1:2">
      <c r="A1064" s="3" t="s">
        <v>2990</v>
      </c>
      <c r="B1064" s="3" t="s">
        <v>2991</v>
      </c>
    </row>
    <row r="1065" spans="1:2">
      <c r="A1065" s="3" t="s">
        <v>2992</v>
      </c>
      <c r="B1065" s="3" t="s">
        <v>2993</v>
      </c>
    </row>
    <row r="1066" spans="1:2">
      <c r="A1066" s="3" t="s">
        <v>2994</v>
      </c>
      <c r="B1066" s="3" t="s">
        <v>2995</v>
      </c>
    </row>
    <row r="1067" spans="1:2">
      <c r="A1067" s="3" t="s">
        <v>2996</v>
      </c>
      <c r="B1067" s="3" t="s">
        <v>2997</v>
      </c>
    </row>
    <row r="1068" spans="1:2">
      <c r="A1068" s="3" t="s">
        <v>2998</v>
      </c>
      <c r="B1068" s="3" t="s">
        <v>2999</v>
      </c>
    </row>
    <row r="1069" spans="1:2">
      <c r="A1069" s="3" t="s">
        <v>3000</v>
      </c>
      <c r="B1069" s="3" t="s">
        <v>3001</v>
      </c>
    </row>
    <row r="1070" spans="1:2">
      <c r="A1070" s="3" t="s">
        <v>3002</v>
      </c>
      <c r="B1070" s="3" t="s">
        <v>3003</v>
      </c>
    </row>
    <row r="1071" spans="1:2">
      <c r="A1071" s="3" t="s">
        <v>3004</v>
      </c>
      <c r="B1071" s="3" t="s">
        <v>3005</v>
      </c>
    </row>
    <row r="1072" spans="1:2">
      <c r="A1072" s="3" t="s">
        <v>3006</v>
      </c>
      <c r="B1072" s="3" t="s">
        <v>3007</v>
      </c>
    </row>
    <row r="1073" spans="1:2">
      <c r="A1073" s="3" t="s">
        <v>3008</v>
      </c>
      <c r="B1073" s="3" t="s">
        <v>3009</v>
      </c>
    </row>
    <row r="1074" spans="1:2">
      <c r="A1074" s="3" t="s">
        <v>3010</v>
      </c>
      <c r="B1074" s="3" t="s">
        <v>3011</v>
      </c>
    </row>
    <row r="1075" spans="1:2">
      <c r="A1075" s="3" t="s">
        <v>3012</v>
      </c>
      <c r="B1075" s="3" t="s">
        <v>3013</v>
      </c>
    </row>
    <row r="1076" spans="1:2">
      <c r="A1076" s="3" t="s">
        <v>3014</v>
      </c>
      <c r="B1076" s="3" t="s">
        <v>3015</v>
      </c>
    </row>
    <row r="1077" spans="1:2">
      <c r="A1077" s="3" t="s">
        <v>3016</v>
      </c>
      <c r="B1077" s="3" t="s">
        <v>3017</v>
      </c>
    </row>
    <row r="1078" spans="1:2">
      <c r="A1078" s="3" t="s">
        <v>3018</v>
      </c>
      <c r="B1078" s="3" t="s">
        <v>3019</v>
      </c>
    </row>
    <row r="1079" spans="1:2">
      <c r="A1079" s="3" t="s">
        <v>3020</v>
      </c>
      <c r="B1079" s="3" t="s">
        <v>3021</v>
      </c>
    </row>
    <row r="1080" spans="1:2">
      <c r="A1080" s="3" t="s">
        <v>3022</v>
      </c>
      <c r="B1080" s="3" t="s">
        <v>3023</v>
      </c>
    </row>
    <row r="1081" spans="1:2">
      <c r="A1081" s="3" t="s">
        <v>3024</v>
      </c>
      <c r="B1081" s="3" t="s">
        <v>3025</v>
      </c>
    </row>
    <row r="1082" spans="1:2">
      <c r="A1082" s="3" t="s">
        <v>3026</v>
      </c>
      <c r="B1082" s="3" t="s">
        <v>3027</v>
      </c>
    </row>
    <row r="1083" spans="1:2">
      <c r="A1083" s="3" t="s">
        <v>3028</v>
      </c>
      <c r="B1083" s="3" t="s">
        <v>3029</v>
      </c>
    </row>
    <row r="1084" spans="1:2">
      <c r="A1084" s="3" t="s">
        <v>3030</v>
      </c>
      <c r="B1084" s="3" t="s">
        <v>3031</v>
      </c>
    </row>
    <row r="1085" spans="1:2">
      <c r="A1085" s="3" t="s">
        <v>3032</v>
      </c>
      <c r="B1085" s="3" t="s">
        <v>3033</v>
      </c>
    </row>
    <row r="1086" spans="1:2">
      <c r="A1086" s="3" t="s">
        <v>3034</v>
      </c>
      <c r="B1086" s="3" t="s">
        <v>3035</v>
      </c>
    </row>
    <row r="1087" spans="1:2">
      <c r="A1087" s="3" t="s">
        <v>3036</v>
      </c>
      <c r="B1087" s="3" t="s">
        <v>3037</v>
      </c>
    </row>
    <row r="1088" spans="1:2">
      <c r="A1088" s="3" t="s">
        <v>3038</v>
      </c>
      <c r="B1088" s="3" t="s">
        <v>3039</v>
      </c>
    </row>
    <row r="1089" spans="1:2">
      <c r="A1089" s="3" t="s">
        <v>3040</v>
      </c>
      <c r="B1089" s="3" t="s">
        <v>3041</v>
      </c>
    </row>
    <row r="1090" spans="1:2">
      <c r="A1090" s="3" t="s">
        <v>3042</v>
      </c>
      <c r="B1090" s="3" t="s">
        <v>3043</v>
      </c>
    </row>
    <row r="1091" spans="1:2">
      <c r="A1091" s="3" t="s">
        <v>3044</v>
      </c>
      <c r="B1091" s="3" t="s">
        <v>3045</v>
      </c>
    </row>
    <row r="1092" spans="1:2">
      <c r="A1092" s="3" t="s">
        <v>3046</v>
      </c>
      <c r="B1092" s="3" t="s">
        <v>3047</v>
      </c>
    </row>
    <row r="1093" spans="1:2">
      <c r="A1093" s="3" t="s">
        <v>3048</v>
      </c>
      <c r="B1093" s="3" t="s">
        <v>3049</v>
      </c>
    </row>
    <row r="1094" spans="1:2">
      <c r="A1094" s="3" t="s">
        <v>3050</v>
      </c>
      <c r="B1094" s="3" t="s">
        <v>3051</v>
      </c>
    </row>
    <row r="1095" spans="1:2">
      <c r="A1095" s="3" t="s">
        <v>3052</v>
      </c>
      <c r="B1095" s="3" t="s">
        <v>3053</v>
      </c>
    </row>
    <row r="1096" spans="1:2">
      <c r="A1096" s="3" t="s">
        <v>3054</v>
      </c>
      <c r="B1096" s="3" t="s">
        <v>3055</v>
      </c>
    </row>
    <row r="1097" spans="1:2">
      <c r="A1097" s="3" t="s">
        <v>3056</v>
      </c>
      <c r="B1097" s="3" t="s">
        <v>3057</v>
      </c>
    </row>
    <row r="1098" spans="1:2">
      <c r="A1098" s="3" t="s">
        <v>3058</v>
      </c>
      <c r="B1098" s="3" t="s">
        <v>3059</v>
      </c>
    </row>
    <row r="1099" spans="1:2">
      <c r="A1099" s="3" t="s">
        <v>3060</v>
      </c>
      <c r="B1099" s="3" t="s">
        <v>3061</v>
      </c>
    </row>
    <row r="1100" spans="1:2">
      <c r="A1100" s="3" t="s">
        <v>3062</v>
      </c>
      <c r="B1100" s="3" t="s">
        <v>3063</v>
      </c>
    </row>
    <row r="1101" spans="1:2">
      <c r="A1101" s="3" t="s">
        <v>3064</v>
      </c>
      <c r="B1101" s="3" t="s">
        <v>3065</v>
      </c>
    </row>
    <row r="1102" spans="1:2">
      <c r="A1102" s="3" t="s">
        <v>3066</v>
      </c>
      <c r="B1102" s="3" t="s">
        <v>3067</v>
      </c>
    </row>
    <row r="1103" spans="1:2">
      <c r="A1103" s="3" t="s">
        <v>3068</v>
      </c>
      <c r="B1103" s="3" t="s">
        <v>3069</v>
      </c>
    </row>
    <row r="1104" spans="1:2">
      <c r="A1104" s="3" t="s">
        <v>3070</v>
      </c>
      <c r="B1104" s="3" t="s">
        <v>3071</v>
      </c>
    </row>
    <row r="1105" spans="1:2">
      <c r="A1105" s="3" t="s">
        <v>3072</v>
      </c>
      <c r="B1105" s="3" t="s">
        <v>3073</v>
      </c>
    </row>
    <row r="1106" spans="1:2">
      <c r="A1106" s="3" t="s">
        <v>3074</v>
      </c>
      <c r="B1106" s="3" t="s">
        <v>3075</v>
      </c>
    </row>
    <row r="1107" spans="1:2">
      <c r="A1107" s="3" t="s">
        <v>3076</v>
      </c>
      <c r="B1107" s="3" t="s">
        <v>3077</v>
      </c>
    </row>
    <row r="1108" spans="1:2">
      <c r="A1108" s="3" t="s">
        <v>3078</v>
      </c>
      <c r="B1108" s="3" t="s">
        <v>3079</v>
      </c>
    </row>
    <row r="1109" spans="1:2">
      <c r="A1109" s="3" t="s">
        <v>3080</v>
      </c>
      <c r="B1109" s="3" t="s">
        <v>3081</v>
      </c>
    </row>
    <row r="1110" spans="1:2">
      <c r="A1110" s="3" t="s">
        <v>3082</v>
      </c>
      <c r="B1110" s="3" t="s">
        <v>3083</v>
      </c>
    </row>
    <row r="1111" spans="1:2">
      <c r="A1111" s="3" t="s">
        <v>3084</v>
      </c>
      <c r="B1111" s="3" t="s">
        <v>3085</v>
      </c>
    </row>
    <row r="1112" spans="1:2">
      <c r="A1112" s="3" t="s">
        <v>3086</v>
      </c>
      <c r="B1112" s="3" t="s">
        <v>3087</v>
      </c>
    </row>
    <row r="1113" spans="1:2">
      <c r="A1113" s="3" t="s">
        <v>3088</v>
      </c>
      <c r="B1113" s="3" t="s">
        <v>3089</v>
      </c>
    </row>
    <row r="1114" spans="1:2">
      <c r="A1114" s="3" t="s">
        <v>3090</v>
      </c>
      <c r="B1114" s="3" t="s">
        <v>3091</v>
      </c>
    </row>
    <row r="1115" spans="1:2">
      <c r="A1115" s="3" t="s">
        <v>3092</v>
      </c>
      <c r="B1115" s="3" t="s">
        <v>3093</v>
      </c>
    </row>
    <row r="1116" spans="1:2">
      <c r="A1116" s="3" t="s">
        <v>3094</v>
      </c>
      <c r="B1116" s="3" t="s">
        <v>3095</v>
      </c>
    </row>
    <row r="1117" spans="1:2">
      <c r="A1117" s="3" t="s">
        <v>3096</v>
      </c>
      <c r="B1117" s="3" t="s">
        <v>3097</v>
      </c>
    </row>
    <row r="1118" spans="1:2">
      <c r="A1118" s="3" t="s">
        <v>3098</v>
      </c>
      <c r="B1118" s="3" t="s">
        <v>3099</v>
      </c>
    </row>
    <row r="1119" spans="1:2">
      <c r="A1119" s="3" t="s">
        <v>3100</v>
      </c>
      <c r="B1119" s="3" t="s">
        <v>3101</v>
      </c>
    </row>
    <row r="1120" spans="1:2">
      <c r="A1120" s="3" t="s">
        <v>3102</v>
      </c>
      <c r="B1120" s="3" t="s">
        <v>3103</v>
      </c>
    </row>
    <row r="1121" spans="1:2">
      <c r="A1121" s="3" t="s">
        <v>3104</v>
      </c>
      <c r="B1121" s="3" t="s">
        <v>3105</v>
      </c>
    </row>
    <row r="1122" spans="1:2">
      <c r="A1122" s="3" t="s">
        <v>3106</v>
      </c>
      <c r="B1122" s="3" t="s">
        <v>3107</v>
      </c>
    </row>
    <row r="1123" spans="1:2">
      <c r="A1123" s="3" t="s">
        <v>3108</v>
      </c>
      <c r="B1123" s="3" t="s">
        <v>3109</v>
      </c>
    </row>
    <row r="1124" spans="1:2">
      <c r="A1124" s="3" t="s">
        <v>3110</v>
      </c>
      <c r="B1124" s="3" t="s">
        <v>3111</v>
      </c>
    </row>
    <row r="1125" spans="1:2">
      <c r="A1125" s="3" t="s">
        <v>3112</v>
      </c>
      <c r="B1125" s="3" t="s">
        <v>3113</v>
      </c>
    </row>
    <row r="1126" spans="1:2">
      <c r="A1126" s="3" t="s">
        <v>3114</v>
      </c>
      <c r="B1126" s="3" t="s">
        <v>3115</v>
      </c>
    </row>
    <row r="1127" spans="1:2">
      <c r="A1127" s="3" t="s">
        <v>3116</v>
      </c>
      <c r="B1127" s="3" t="s">
        <v>3117</v>
      </c>
    </row>
    <row r="1128" spans="1:2">
      <c r="A1128" s="3" t="s">
        <v>3118</v>
      </c>
      <c r="B1128" s="3" t="s">
        <v>3119</v>
      </c>
    </row>
    <row r="1129" spans="1:2">
      <c r="A1129" s="3" t="s">
        <v>3120</v>
      </c>
      <c r="B1129" s="3" t="s">
        <v>3121</v>
      </c>
    </row>
    <row r="1130" spans="1:2">
      <c r="A1130" s="3" t="s">
        <v>3122</v>
      </c>
      <c r="B1130" s="3" t="s">
        <v>3123</v>
      </c>
    </row>
    <row r="1131" spans="1:2">
      <c r="A1131" s="3" t="s">
        <v>3124</v>
      </c>
      <c r="B1131" s="3" t="s">
        <v>3125</v>
      </c>
    </row>
    <row r="1132" spans="1:2">
      <c r="A1132" s="3" t="s">
        <v>3126</v>
      </c>
      <c r="B1132" s="3" t="s">
        <v>3127</v>
      </c>
    </row>
    <row r="1133" spans="1:2">
      <c r="A1133" s="3" t="s">
        <v>3128</v>
      </c>
      <c r="B1133" s="3" t="s">
        <v>3129</v>
      </c>
    </row>
    <row r="1134" spans="1:2">
      <c r="A1134" s="3" t="s">
        <v>3130</v>
      </c>
      <c r="B1134" s="3" t="s">
        <v>3131</v>
      </c>
    </row>
    <row r="1135" spans="1:2">
      <c r="A1135" s="3" t="s">
        <v>3132</v>
      </c>
      <c r="B1135" s="3" t="s">
        <v>3133</v>
      </c>
    </row>
    <row r="1136" spans="1:2">
      <c r="A1136" s="3" t="s">
        <v>3134</v>
      </c>
      <c r="B1136" s="3" t="s">
        <v>3135</v>
      </c>
    </row>
    <row r="1137" spans="1:2">
      <c r="A1137" s="3" t="s">
        <v>3136</v>
      </c>
      <c r="B1137" s="3" t="s">
        <v>3137</v>
      </c>
    </row>
    <row r="1138" spans="1:2">
      <c r="A1138" s="3" t="s">
        <v>3138</v>
      </c>
      <c r="B1138" s="3" t="s">
        <v>3139</v>
      </c>
    </row>
    <row r="1139" spans="1:2">
      <c r="A1139" s="3" t="s">
        <v>3140</v>
      </c>
      <c r="B1139" s="3" t="s">
        <v>3141</v>
      </c>
    </row>
    <row r="1140" spans="1:2">
      <c r="A1140" s="3" t="s">
        <v>3142</v>
      </c>
      <c r="B1140" s="3" t="s">
        <v>3143</v>
      </c>
    </row>
    <row r="1141" spans="1:2">
      <c r="A1141" s="3" t="s">
        <v>3144</v>
      </c>
      <c r="B1141" s="3" t="s">
        <v>3145</v>
      </c>
    </row>
    <row r="1142" spans="1:2">
      <c r="A1142" s="3" t="s">
        <v>3146</v>
      </c>
      <c r="B1142" s="3" t="s">
        <v>3147</v>
      </c>
    </row>
    <row r="1143" spans="1:2">
      <c r="A1143" s="3" t="s">
        <v>3148</v>
      </c>
      <c r="B1143" s="3" t="s">
        <v>3149</v>
      </c>
    </row>
    <row r="1144" spans="1:2">
      <c r="A1144" s="3" t="s">
        <v>3150</v>
      </c>
      <c r="B1144" s="3" t="s">
        <v>3151</v>
      </c>
    </row>
    <row r="1145" spans="1:2">
      <c r="A1145" s="3" t="s">
        <v>3152</v>
      </c>
      <c r="B1145" s="3" t="s">
        <v>3153</v>
      </c>
    </row>
    <row r="1146" spans="1:2">
      <c r="A1146" s="3" t="s">
        <v>3154</v>
      </c>
      <c r="B1146" s="3" t="s">
        <v>3155</v>
      </c>
    </row>
    <row r="1147" spans="1:2">
      <c r="A1147" s="3" t="s">
        <v>3156</v>
      </c>
      <c r="B1147" s="3" t="s">
        <v>3157</v>
      </c>
    </row>
    <row r="1148" spans="1:2">
      <c r="A1148" s="3" t="s">
        <v>3158</v>
      </c>
      <c r="B1148" s="3" t="s">
        <v>3159</v>
      </c>
    </row>
    <row r="1149" spans="1:2">
      <c r="A1149" s="3" t="s">
        <v>3160</v>
      </c>
      <c r="B1149" s="3" t="s">
        <v>3161</v>
      </c>
    </row>
    <row r="1150" spans="1:2">
      <c r="A1150" s="3" t="s">
        <v>3162</v>
      </c>
      <c r="B1150" s="3" t="s">
        <v>3163</v>
      </c>
    </row>
    <row r="1151" spans="1:2">
      <c r="A1151" s="3" t="s">
        <v>3164</v>
      </c>
      <c r="B1151" s="3" t="s">
        <v>3165</v>
      </c>
    </row>
    <row r="1152" spans="1:2">
      <c r="A1152" s="3" t="s">
        <v>3166</v>
      </c>
      <c r="B1152" s="3" t="s">
        <v>3167</v>
      </c>
    </row>
    <row r="1153" spans="1:2">
      <c r="A1153" s="3" t="s">
        <v>3168</v>
      </c>
      <c r="B1153" s="3" t="s">
        <v>3169</v>
      </c>
    </row>
    <row r="1154" spans="1:2">
      <c r="A1154" s="3" t="s">
        <v>3170</v>
      </c>
      <c r="B1154" s="3" t="s">
        <v>3171</v>
      </c>
    </row>
    <row r="1155" spans="1:2">
      <c r="A1155" s="3" t="s">
        <v>3172</v>
      </c>
      <c r="B1155" s="3" t="s">
        <v>3173</v>
      </c>
    </row>
    <row r="1156" spans="1:2">
      <c r="A1156" s="3" t="s">
        <v>3174</v>
      </c>
      <c r="B1156" s="3" t="s">
        <v>3175</v>
      </c>
    </row>
    <row r="1157" spans="1:2">
      <c r="A1157" s="3" t="s">
        <v>3176</v>
      </c>
      <c r="B1157" s="3" t="s">
        <v>3177</v>
      </c>
    </row>
    <row r="1158" spans="1:2">
      <c r="A1158" s="3" t="s">
        <v>3178</v>
      </c>
      <c r="B1158" s="3" t="s">
        <v>3179</v>
      </c>
    </row>
    <row r="1159" spans="1:2">
      <c r="A1159" s="3" t="s">
        <v>3180</v>
      </c>
      <c r="B1159" s="3" t="s">
        <v>3181</v>
      </c>
    </row>
    <row r="1160" spans="1:2">
      <c r="A1160" s="3" t="s">
        <v>3182</v>
      </c>
      <c r="B1160" s="3" t="s">
        <v>3183</v>
      </c>
    </row>
    <row r="1161" spans="1:2">
      <c r="A1161" s="3" t="s">
        <v>3184</v>
      </c>
      <c r="B1161" s="3" t="s">
        <v>3185</v>
      </c>
    </row>
    <row r="1162" spans="1:2">
      <c r="A1162" s="3" t="s">
        <v>3186</v>
      </c>
      <c r="B1162" s="3" t="s">
        <v>3187</v>
      </c>
    </row>
    <row r="1163" spans="1:2">
      <c r="A1163" s="3" t="s">
        <v>3188</v>
      </c>
      <c r="B1163" s="3" t="s">
        <v>3189</v>
      </c>
    </row>
    <row r="1164" spans="1:2">
      <c r="A1164" s="3" t="s">
        <v>3190</v>
      </c>
      <c r="B1164" s="3" t="s">
        <v>3191</v>
      </c>
    </row>
    <row r="1165" spans="1:2">
      <c r="A1165" s="3" t="s">
        <v>3192</v>
      </c>
      <c r="B1165" s="3" t="s">
        <v>3193</v>
      </c>
    </row>
    <row r="1166" spans="1:2">
      <c r="A1166" s="3" t="s">
        <v>3194</v>
      </c>
      <c r="B1166" s="3" t="s">
        <v>3195</v>
      </c>
    </row>
    <row r="1167" spans="1:2">
      <c r="A1167" s="3" t="s">
        <v>3196</v>
      </c>
      <c r="B1167" s="3" t="s">
        <v>3197</v>
      </c>
    </row>
    <row r="1168" spans="1:2">
      <c r="A1168" s="3" t="s">
        <v>3198</v>
      </c>
      <c r="B1168" s="3" t="s">
        <v>3199</v>
      </c>
    </row>
    <row r="1169" spans="1:2">
      <c r="A1169" s="3" t="s">
        <v>3200</v>
      </c>
      <c r="B1169" s="3" t="s">
        <v>3201</v>
      </c>
    </row>
    <row r="1170" spans="1:2">
      <c r="A1170" s="3" t="s">
        <v>3202</v>
      </c>
      <c r="B1170" s="3" t="s">
        <v>3203</v>
      </c>
    </row>
    <row r="1171" spans="1:2">
      <c r="A1171" s="3" t="s">
        <v>3204</v>
      </c>
      <c r="B1171" s="3" t="s">
        <v>3205</v>
      </c>
    </row>
    <row r="1172" spans="1:2">
      <c r="A1172" s="3" t="s">
        <v>3206</v>
      </c>
      <c r="B1172" s="3" t="s">
        <v>3207</v>
      </c>
    </row>
    <row r="1173" spans="1:2">
      <c r="A1173" s="3" t="s">
        <v>3208</v>
      </c>
      <c r="B1173" s="3" t="s">
        <v>3209</v>
      </c>
    </row>
    <row r="1174" spans="1:2">
      <c r="A1174" s="3" t="s">
        <v>3210</v>
      </c>
      <c r="B1174" s="3" t="s">
        <v>3211</v>
      </c>
    </row>
    <row r="1175" spans="1:2">
      <c r="A1175" s="3" t="s">
        <v>3212</v>
      </c>
      <c r="B1175" s="3" t="s">
        <v>3213</v>
      </c>
    </row>
    <row r="1176" spans="1:2">
      <c r="A1176" s="3" t="s">
        <v>3214</v>
      </c>
      <c r="B1176" s="3" t="s">
        <v>3215</v>
      </c>
    </row>
    <row r="1177" spans="1:2">
      <c r="A1177" s="3" t="s">
        <v>3216</v>
      </c>
      <c r="B1177" s="3" t="s">
        <v>3217</v>
      </c>
    </row>
    <row r="1178" spans="1:2">
      <c r="A1178" s="3" t="s">
        <v>3218</v>
      </c>
      <c r="B1178" s="3" t="s">
        <v>3219</v>
      </c>
    </row>
    <row r="1179" spans="1:2">
      <c r="A1179" s="3" t="s">
        <v>3220</v>
      </c>
      <c r="B1179" s="3" t="s">
        <v>3221</v>
      </c>
    </row>
    <row r="1180" spans="1:2">
      <c r="A1180" s="3" t="s">
        <v>3222</v>
      </c>
      <c r="B1180" s="3" t="s">
        <v>3223</v>
      </c>
    </row>
    <row r="1181" spans="1:2">
      <c r="A1181" s="3" t="s">
        <v>3224</v>
      </c>
      <c r="B1181" s="3" t="s">
        <v>3225</v>
      </c>
    </row>
    <row r="1182" spans="1:2">
      <c r="A1182" s="3" t="s">
        <v>3226</v>
      </c>
      <c r="B1182" s="3" t="s">
        <v>3227</v>
      </c>
    </row>
    <row r="1183" spans="1:2">
      <c r="A1183" s="3" t="s">
        <v>3228</v>
      </c>
      <c r="B1183" s="3" t="s">
        <v>3229</v>
      </c>
    </row>
    <row r="1184" spans="1:2">
      <c r="A1184" s="3" t="s">
        <v>3230</v>
      </c>
      <c r="B1184" s="3" t="s">
        <v>3231</v>
      </c>
    </row>
    <row r="1185" spans="1:2">
      <c r="A1185" s="3" t="s">
        <v>3232</v>
      </c>
      <c r="B1185" s="3" t="s">
        <v>3233</v>
      </c>
    </row>
    <row r="1186" spans="1:2">
      <c r="A1186" s="3" t="s">
        <v>3234</v>
      </c>
      <c r="B1186" s="3" t="s">
        <v>3235</v>
      </c>
    </row>
    <row r="1187" spans="1:2">
      <c r="A1187" s="3" t="s">
        <v>3236</v>
      </c>
      <c r="B1187" s="3" t="s">
        <v>3237</v>
      </c>
    </row>
    <row r="1188" spans="1:2">
      <c r="A1188" s="3" t="s">
        <v>3238</v>
      </c>
      <c r="B1188" s="3" t="s">
        <v>3239</v>
      </c>
    </row>
    <row r="1189" spans="1:2">
      <c r="A1189" s="3" t="s">
        <v>3240</v>
      </c>
      <c r="B1189" s="3" t="s">
        <v>3241</v>
      </c>
    </row>
    <row r="1190" spans="1:2">
      <c r="A1190" s="3" t="s">
        <v>3242</v>
      </c>
      <c r="B1190" s="3" t="s">
        <v>3243</v>
      </c>
    </row>
    <row r="1191" spans="1:2">
      <c r="A1191" s="3" t="s">
        <v>3244</v>
      </c>
      <c r="B1191" s="3" t="s">
        <v>3245</v>
      </c>
    </row>
    <row r="1192" spans="1:2">
      <c r="A1192" s="3" t="s">
        <v>3246</v>
      </c>
      <c r="B1192" s="3" t="s">
        <v>2403</v>
      </c>
    </row>
    <row r="1193" spans="1:2">
      <c r="A1193" s="3" t="s">
        <v>3247</v>
      </c>
      <c r="B1193" s="3" t="s">
        <v>2415</v>
      </c>
    </row>
    <row r="1194" spans="1:2">
      <c r="A1194" s="3" t="s">
        <v>3248</v>
      </c>
      <c r="B1194" s="3" t="s">
        <v>3249</v>
      </c>
    </row>
    <row r="1195" spans="1:2">
      <c r="A1195" s="3" t="s">
        <v>3250</v>
      </c>
      <c r="B1195" s="3" t="s">
        <v>3251</v>
      </c>
    </row>
    <row r="1196" spans="1:2">
      <c r="A1196" s="3" t="s">
        <v>3252</v>
      </c>
      <c r="B1196" s="3" t="s">
        <v>3253</v>
      </c>
    </row>
    <row r="1197" spans="1:2">
      <c r="A1197" s="3" t="s">
        <v>3254</v>
      </c>
      <c r="B1197" s="3" t="s">
        <v>3255</v>
      </c>
    </row>
    <row r="1198" spans="1:2">
      <c r="A1198" s="3" t="s">
        <v>3256</v>
      </c>
      <c r="B1198" s="3" t="s">
        <v>3257</v>
      </c>
    </row>
    <row r="1199" spans="1:2">
      <c r="A1199" s="3" t="s">
        <v>3258</v>
      </c>
      <c r="B1199" s="3" t="s">
        <v>3259</v>
      </c>
    </row>
    <row r="1200" spans="1:2">
      <c r="A1200" s="3" t="s">
        <v>3260</v>
      </c>
      <c r="B1200" s="3" t="s">
        <v>3261</v>
      </c>
    </row>
    <row r="1201" spans="1:2">
      <c r="A1201" s="3" t="s">
        <v>3262</v>
      </c>
      <c r="B1201" s="3" t="s">
        <v>3263</v>
      </c>
    </row>
    <row r="1202" spans="1:2">
      <c r="A1202" s="3" t="s">
        <v>3264</v>
      </c>
      <c r="B1202" s="3" t="s">
        <v>3265</v>
      </c>
    </row>
    <row r="1203" spans="1:2">
      <c r="A1203" s="3" t="s">
        <v>3266</v>
      </c>
      <c r="B1203" s="3" t="s">
        <v>3267</v>
      </c>
    </row>
    <row r="1204" spans="1:2">
      <c r="A1204" s="3" t="s">
        <v>3268</v>
      </c>
      <c r="B1204" s="3" t="s">
        <v>3269</v>
      </c>
    </row>
    <row r="1205" spans="1:2">
      <c r="A1205" s="3" t="s">
        <v>3270</v>
      </c>
      <c r="B1205" s="3" t="s">
        <v>2737</v>
      </c>
    </row>
    <row r="1206" spans="1:2">
      <c r="A1206" s="3" t="s">
        <v>3271</v>
      </c>
      <c r="B1206" s="3" t="s">
        <v>3272</v>
      </c>
    </row>
    <row r="1207" spans="1:2">
      <c r="A1207" s="3" t="s">
        <v>3273</v>
      </c>
      <c r="B1207" s="3" t="s">
        <v>3274</v>
      </c>
    </row>
    <row r="1208" spans="1:2">
      <c r="A1208" s="3" t="s">
        <v>3275</v>
      </c>
      <c r="B1208" s="3" t="s">
        <v>3276</v>
      </c>
    </row>
    <row r="1209" spans="1:2">
      <c r="A1209" s="3" t="s">
        <v>3277</v>
      </c>
      <c r="B1209" s="3" t="s">
        <v>3278</v>
      </c>
    </row>
    <row r="1210" spans="1:2">
      <c r="A1210" s="3" t="s">
        <v>3279</v>
      </c>
      <c r="B1210" s="3" t="s">
        <v>3280</v>
      </c>
    </row>
    <row r="1211" spans="1:2">
      <c r="A1211" s="3" t="s">
        <v>3281</v>
      </c>
      <c r="B1211" s="3" t="s">
        <v>3282</v>
      </c>
    </row>
    <row r="1212" spans="1:2">
      <c r="A1212" s="3" t="s">
        <v>3283</v>
      </c>
      <c r="B1212" s="3" t="s">
        <v>3284</v>
      </c>
    </row>
    <row r="1213" spans="1:2">
      <c r="A1213" s="3" t="s">
        <v>3285</v>
      </c>
      <c r="B1213" s="3" t="s">
        <v>3286</v>
      </c>
    </row>
    <row r="1214" spans="1:2">
      <c r="A1214" s="3" t="s">
        <v>3287</v>
      </c>
      <c r="B1214" s="3" t="s">
        <v>3288</v>
      </c>
    </row>
    <row r="1215" spans="1:2">
      <c r="A1215" s="3" t="s">
        <v>3289</v>
      </c>
      <c r="B1215" s="3" t="s">
        <v>3290</v>
      </c>
    </row>
    <row r="1216" spans="1:2">
      <c r="A1216" s="3" t="s">
        <v>3291</v>
      </c>
      <c r="B1216" s="3" t="s">
        <v>3292</v>
      </c>
    </row>
    <row r="1217" spans="1:2">
      <c r="A1217" s="3" t="s">
        <v>3293</v>
      </c>
      <c r="B1217" s="3" t="s">
        <v>3294</v>
      </c>
    </row>
    <row r="1218" spans="1:2">
      <c r="A1218" s="3" t="s">
        <v>3295</v>
      </c>
      <c r="B1218" s="3" t="s">
        <v>3296</v>
      </c>
    </row>
    <row r="1219" spans="1:2">
      <c r="A1219" s="3" t="s">
        <v>3297</v>
      </c>
      <c r="B1219" s="3" t="s">
        <v>3298</v>
      </c>
    </row>
    <row r="1220" spans="1:2">
      <c r="A1220" s="3" t="s">
        <v>3299</v>
      </c>
      <c r="B1220" s="3" t="s">
        <v>3300</v>
      </c>
    </row>
    <row r="1221" spans="1:2">
      <c r="A1221" s="3" t="s">
        <v>3301</v>
      </c>
      <c r="B1221" s="3" t="s">
        <v>3302</v>
      </c>
    </row>
    <row r="1222" spans="1:2">
      <c r="A1222" s="3" t="s">
        <v>3303</v>
      </c>
      <c r="B1222" s="3" t="s">
        <v>3304</v>
      </c>
    </row>
    <row r="1223" spans="1:2">
      <c r="A1223" s="3" t="s">
        <v>3305</v>
      </c>
      <c r="B1223" s="3" t="s">
        <v>3306</v>
      </c>
    </row>
    <row r="1224" spans="1:2">
      <c r="A1224" s="3" t="s">
        <v>3307</v>
      </c>
      <c r="B1224" s="3" t="s">
        <v>3308</v>
      </c>
    </row>
    <row r="1225" spans="1:2">
      <c r="A1225" s="3" t="s">
        <v>3309</v>
      </c>
      <c r="B1225" s="3" t="s">
        <v>3310</v>
      </c>
    </row>
    <row r="1226" spans="1:2">
      <c r="A1226" s="3" t="s">
        <v>3311</v>
      </c>
      <c r="B1226" s="3" t="s">
        <v>3312</v>
      </c>
    </row>
    <row r="1227" spans="1:2">
      <c r="A1227" s="3" t="s">
        <v>3313</v>
      </c>
      <c r="B1227" s="3" t="s">
        <v>3314</v>
      </c>
    </row>
    <row r="1228" spans="1:2">
      <c r="A1228" s="3" t="s">
        <v>3315</v>
      </c>
      <c r="B1228" s="3" t="s">
        <v>3316</v>
      </c>
    </row>
    <row r="1229" spans="1:2">
      <c r="A1229" s="3" t="s">
        <v>3317</v>
      </c>
      <c r="B1229" s="3" t="s">
        <v>3318</v>
      </c>
    </row>
    <row r="1230" spans="1:2">
      <c r="A1230" s="3" t="s">
        <v>3319</v>
      </c>
      <c r="B1230" s="3" t="s">
        <v>3320</v>
      </c>
    </row>
    <row r="1231" spans="1:2">
      <c r="A1231" s="3" t="s">
        <v>3321</v>
      </c>
      <c r="B1231" s="3" t="s">
        <v>3322</v>
      </c>
    </row>
    <row r="1232" spans="1:2">
      <c r="A1232" s="3" t="s">
        <v>3323</v>
      </c>
      <c r="B1232" s="3" t="s">
        <v>3324</v>
      </c>
    </row>
    <row r="1233" spans="1:2">
      <c r="A1233" s="3" t="s">
        <v>3325</v>
      </c>
      <c r="B1233" s="3" t="s">
        <v>3326</v>
      </c>
    </row>
    <row r="1234" spans="1:2">
      <c r="A1234" s="3" t="s">
        <v>3327</v>
      </c>
      <c r="B1234" s="3" t="s">
        <v>3328</v>
      </c>
    </row>
    <row r="1235" spans="1:2">
      <c r="A1235" s="3" t="s">
        <v>3329</v>
      </c>
      <c r="B1235" s="3" t="s">
        <v>3330</v>
      </c>
    </row>
    <row r="1236" spans="1:2">
      <c r="A1236" s="3" t="s">
        <v>3331</v>
      </c>
      <c r="B1236" s="3" t="s">
        <v>3332</v>
      </c>
    </row>
    <row r="1237" spans="1:2">
      <c r="A1237" s="3" t="s">
        <v>3333</v>
      </c>
      <c r="B1237" s="3" t="s">
        <v>3334</v>
      </c>
    </row>
    <row r="1238" spans="1:2">
      <c r="A1238" s="3" t="s">
        <v>3335</v>
      </c>
      <c r="B1238" s="3" t="s">
        <v>3336</v>
      </c>
    </row>
    <row r="1239" spans="1:2">
      <c r="A1239" s="3" t="s">
        <v>3337</v>
      </c>
      <c r="B1239" s="3" t="s">
        <v>3338</v>
      </c>
    </row>
    <row r="1240" spans="1:2">
      <c r="A1240" s="3" t="s">
        <v>3339</v>
      </c>
      <c r="B1240" s="3" t="s">
        <v>3340</v>
      </c>
    </row>
    <row r="1241" spans="1:2">
      <c r="A1241" s="3" t="s">
        <v>3341</v>
      </c>
      <c r="B1241" s="3" t="s">
        <v>3342</v>
      </c>
    </row>
    <row r="1242" spans="1:2">
      <c r="A1242" s="3" t="s">
        <v>3343</v>
      </c>
      <c r="B1242" s="3" t="s">
        <v>3344</v>
      </c>
    </row>
    <row r="1243" spans="1:2">
      <c r="A1243" s="3" t="s">
        <v>3345</v>
      </c>
      <c r="B1243" s="3" t="s">
        <v>3346</v>
      </c>
    </row>
    <row r="1244" spans="1:2">
      <c r="A1244" s="3" t="s">
        <v>3347</v>
      </c>
      <c r="B1244" s="3" t="s">
        <v>3348</v>
      </c>
    </row>
    <row r="1245" spans="1:2">
      <c r="A1245" s="3" t="s">
        <v>3349</v>
      </c>
      <c r="B1245" s="3" t="s">
        <v>3350</v>
      </c>
    </row>
    <row r="1246" spans="1:2">
      <c r="A1246" s="3" t="s">
        <v>3351</v>
      </c>
      <c r="B1246" s="3" t="s">
        <v>3352</v>
      </c>
    </row>
    <row r="1247" spans="1:2">
      <c r="A1247" s="3" t="s">
        <v>3353</v>
      </c>
      <c r="B1247" s="3" t="s">
        <v>3354</v>
      </c>
    </row>
    <row r="1248" spans="1:2">
      <c r="A1248" s="3" t="s">
        <v>3355</v>
      </c>
      <c r="B1248" s="3" t="s">
        <v>3356</v>
      </c>
    </row>
    <row r="1249" spans="1:2">
      <c r="A1249" s="3" t="s">
        <v>3357</v>
      </c>
      <c r="B1249" s="3" t="s">
        <v>3358</v>
      </c>
    </row>
    <row r="1250" spans="1:2">
      <c r="A1250" s="3" t="s">
        <v>3359</v>
      </c>
      <c r="B1250" s="3" t="s">
        <v>3360</v>
      </c>
    </row>
    <row r="1251" spans="1:2">
      <c r="A1251" s="3" t="s">
        <v>3361</v>
      </c>
      <c r="B1251" s="3" t="s">
        <v>3362</v>
      </c>
    </row>
    <row r="1252" spans="1:2">
      <c r="A1252" s="3" t="s">
        <v>3363</v>
      </c>
      <c r="B1252" s="3" t="s">
        <v>3364</v>
      </c>
    </row>
    <row r="1253" spans="1:2">
      <c r="A1253" s="3" t="s">
        <v>3365</v>
      </c>
      <c r="B1253" s="3" t="s">
        <v>3366</v>
      </c>
    </row>
    <row r="1254" spans="1:2">
      <c r="A1254" s="3" t="s">
        <v>3367</v>
      </c>
      <c r="B1254" s="3" t="s">
        <v>3368</v>
      </c>
    </row>
    <row r="1255" spans="1:2">
      <c r="A1255" s="3" t="s">
        <v>3369</v>
      </c>
      <c r="B1255" s="3" t="s">
        <v>3370</v>
      </c>
    </row>
    <row r="1256" spans="1:2">
      <c r="A1256" s="3" t="s">
        <v>3371</v>
      </c>
      <c r="B1256" s="3" t="s">
        <v>3372</v>
      </c>
    </row>
    <row r="1257" spans="1:2">
      <c r="A1257" s="3" t="s">
        <v>3373</v>
      </c>
      <c r="B1257" s="3" t="s">
        <v>3374</v>
      </c>
    </row>
    <row r="1258" spans="1:2">
      <c r="A1258" s="3" t="s">
        <v>3375</v>
      </c>
      <c r="B1258" s="3" t="s">
        <v>3376</v>
      </c>
    </row>
    <row r="1259" spans="1:2">
      <c r="A1259" s="3" t="s">
        <v>3377</v>
      </c>
      <c r="B1259" s="3" t="s">
        <v>3378</v>
      </c>
    </row>
    <row r="1260" spans="1:2">
      <c r="A1260" s="3" t="s">
        <v>3379</v>
      </c>
      <c r="B1260" s="3" t="s">
        <v>3380</v>
      </c>
    </row>
    <row r="1261" spans="1:2">
      <c r="A1261" s="3" t="s">
        <v>3381</v>
      </c>
      <c r="B1261" s="3" t="s">
        <v>3382</v>
      </c>
    </row>
    <row r="1262" spans="1:2">
      <c r="A1262" s="3" t="s">
        <v>3383</v>
      </c>
      <c r="B1262" s="3" t="s">
        <v>3384</v>
      </c>
    </row>
    <row r="1263" spans="1:2">
      <c r="A1263" s="3" t="s">
        <v>3385</v>
      </c>
      <c r="B1263" s="3" t="s">
        <v>3386</v>
      </c>
    </row>
    <row r="1264" spans="1:2">
      <c r="A1264" s="3" t="s">
        <v>3387</v>
      </c>
      <c r="B1264" s="3" t="s">
        <v>3388</v>
      </c>
    </row>
    <row r="1265" spans="1:2">
      <c r="A1265" s="3" t="s">
        <v>3389</v>
      </c>
      <c r="B1265" s="3" t="s">
        <v>3390</v>
      </c>
    </row>
    <row r="1266" spans="1:2">
      <c r="A1266" s="3" t="s">
        <v>3391</v>
      </c>
      <c r="B1266" s="3" t="s">
        <v>3392</v>
      </c>
    </row>
    <row r="1267" spans="1:2">
      <c r="A1267" s="3" t="s">
        <v>3393</v>
      </c>
      <c r="B1267" s="3" t="s">
        <v>3394</v>
      </c>
    </row>
    <row r="1268" spans="1:2">
      <c r="A1268" s="3" t="s">
        <v>3395</v>
      </c>
      <c r="B1268" s="3" t="s">
        <v>3396</v>
      </c>
    </row>
    <row r="1269" spans="1:2">
      <c r="A1269" s="3" t="s">
        <v>3397</v>
      </c>
      <c r="B1269" s="3" t="s">
        <v>3398</v>
      </c>
    </row>
    <row r="1270" spans="1:2">
      <c r="A1270" s="3" t="s">
        <v>3399</v>
      </c>
      <c r="B1270" s="3" t="s">
        <v>3400</v>
      </c>
    </row>
    <row r="1271" spans="1:2">
      <c r="A1271" s="3" t="s">
        <v>3401</v>
      </c>
      <c r="B1271" s="3" t="s">
        <v>3402</v>
      </c>
    </row>
    <row r="1272" spans="1:2">
      <c r="A1272" s="3" t="s">
        <v>3403</v>
      </c>
      <c r="B1272" s="3" t="s">
        <v>3404</v>
      </c>
    </row>
    <row r="1273" spans="1:2">
      <c r="A1273" s="3" t="s">
        <v>3405</v>
      </c>
      <c r="B1273" s="3" t="s">
        <v>3406</v>
      </c>
    </row>
    <row r="1274" spans="1:2">
      <c r="A1274" s="3" t="s">
        <v>3407</v>
      </c>
      <c r="B1274" s="3" t="s">
        <v>3408</v>
      </c>
    </row>
    <row r="1275" spans="1:2">
      <c r="A1275" s="3" t="s">
        <v>3409</v>
      </c>
      <c r="B1275" s="3" t="s">
        <v>3410</v>
      </c>
    </row>
    <row r="1276" spans="1:2">
      <c r="A1276" s="3" t="s">
        <v>3411</v>
      </c>
      <c r="B1276" s="3" t="s">
        <v>3412</v>
      </c>
    </row>
    <row r="1277" spans="1:2">
      <c r="A1277" s="3" t="s">
        <v>3413</v>
      </c>
      <c r="B1277" s="3" t="s">
        <v>3414</v>
      </c>
    </row>
    <row r="1278" spans="1:2">
      <c r="A1278" s="3" t="s">
        <v>3415</v>
      </c>
      <c r="B1278" s="3" t="s">
        <v>3416</v>
      </c>
    </row>
    <row r="1279" spans="1:2">
      <c r="A1279" s="3" t="s">
        <v>3417</v>
      </c>
      <c r="B1279" s="3" t="s">
        <v>3418</v>
      </c>
    </row>
    <row r="1280" spans="1:2">
      <c r="A1280" s="3" t="s">
        <v>3419</v>
      </c>
      <c r="B1280" s="3" t="s">
        <v>3420</v>
      </c>
    </row>
    <row r="1281" spans="1:2">
      <c r="A1281" s="3" t="s">
        <v>3421</v>
      </c>
      <c r="B1281" s="3" t="s">
        <v>3422</v>
      </c>
    </row>
    <row r="1282" spans="1:2">
      <c r="A1282" s="3" t="s">
        <v>3423</v>
      </c>
      <c r="B1282" s="3" t="s">
        <v>3424</v>
      </c>
    </row>
    <row r="1283" spans="1:2">
      <c r="A1283" s="3" t="s">
        <v>3425</v>
      </c>
      <c r="B1283" s="3" t="s">
        <v>3426</v>
      </c>
    </row>
    <row r="1284" spans="1:2">
      <c r="A1284" s="3" t="s">
        <v>3427</v>
      </c>
      <c r="B1284" s="3" t="s">
        <v>3428</v>
      </c>
    </row>
    <row r="1285" spans="1:2">
      <c r="A1285" s="3" t="s">
        <v>3429</v>
      </c>
      <c r="B1285" s="3" t="s">
        <v>3430</v>
      </c>
    </row>
    <row r="1286" spans="1:2">
      <c r="A1286" s="3" t="s">
        <v>3431</v>
      </c>
      <c r="B1286" s="3" t="s">
        <v>3432</v>
      </c>
    </row>
    <row r="1287" spans="1:2">
      <c r="A1287" s="3" t="s">
        <v>3433</v>
      </c>
      <c r="B1287" s="3" t="s">
        <v>3434</v>
      </c>
    </row>
    <row r="1288" spans="1:2">
      <c r="A1288" s="3" t="s">
        <v>3435</v>
      </c>
      <c r="B1288" s="3" t="s">
        <v>3436</v>
      </c>
    </row>
    <row r="1289" spans="1:2">
      <c r="A1289" s="3" t="s">
        <v>3437</v>
      </c>
      <c r="B1289" s="3" t="s">
        <v>3438</v>
      </c>
    </row>
    <row r="1290" spans="1:2">
      <c r="A1290" s="3" t="s">
        <v>3439</v>
      </c>
      <c r="B1290" s="3" t="s">
        <v>3440</v>
      </c>
    </row>
    <row r="1291" spans="1:2">
      <c r="A1291" s="3" t="s">
        <v>3441</v>
      </c>
      <c r="B1291" s="3" t="s">
        <v>3442</v>
      </c>
    </row>
    <row r="1292" spans="1:2">
      <c r="A1292" s="3" t="s">
        <v>3443</v>
      </c>
      <c r="B1292" s="3" t="s">
        <v>3444</v>
      </c>
    </row>
    <row r="1293" spans="1:2">
      <c r="A1293" s="3" t="s">
        <v>3445</v>
      </c>
      <c r="B1293" s="3" t="s">
        <v>3446</v>
      </c>
    </row>
    <row r="1294" spans="1:2">
      <c r="A1294" s="3" t="s">
        <v>3447</v>
      </c>
      <c r="B1294" s="3" t="s">
        <v>3448</v>
      </c>
    </row>
    <row r="1295" spans="1:2">
      <c r="A1295" s="3" t="s">
        <v>3449</v>
      </c>
      <c r="B1295" s="3" t="s">
        <v>3450</v>
      </c>
    </row>
    <row r="1296" spans="1:2">
      <c r="A1296" s="3" t="s">
        <v>3451</v>
      </c>
      <c r="B1296" s="3" t="s">
        <v>3452</v>
      </c>
    </row>
    <row r="1297" spans="1:2">
      <c r="A1297" s="3" t="s">
        <v>3453</v>
      </c>
      <c r="B1297" s="3" t="s">
        <v>3454</v>
      </c>
    </row>
    <row r="1298" spans="1:2">
      <c r="A1298" s="3" t="s">
        <v>3455</v>
      </c>
      <c r="B1298" s="3" t="s">
        <v>3456</v>
      </c>
    </row>
    <row r="1299" spans="1:2">
      <c r="A1299" s="3" t="s">
        <v>3457</v>
      </c>
      <c r="B1299" s="3" t="s">
        <v>3458</v>
      </c>
    </row>
    <row r="1300" spans="1:2">
      <c r="A1300" s="3" t="s">
        <v>3459</v>
      </c>
      <c r="B1300" s="3" t="s">
        <v>3460</v>
      </c>
    </row>
    <row r="1301" spans="1:2">
      <c r="A1301" s="3" t="s">
        <v>3461</v>
      </c>
      <c r="B1301" s="3" t="s">
        <v>3462</v>
      </c>
    </row>
    <row r="1302" spans="1:2">
      <c r="A1302" s="3" t="s">
        <v>3463</v>
      </c>
      <c r="B1302" s="3" t="s">
        <v>3464</v>
      </c>
    </row>
    <row r="1303" spans="1:2">
      <c r="A1303" s="3" t="s">
        <v>3465</v>
      </c>
      <c r="B1303" s="3" t="s">
        <v>3466</v>
      </c>
    </row>
    <row r="1304" spans="1:2">
      <c r="A1304" s="3" t="s">
        <v>3467</v>
      </c>
      <c r="B1304" s="3" t="s">
        <v>3468</v>
      </c>
    </row>
    <row r="1305" spans="1:2">
      <c r="A1305" s="3" t="s">
        <v>3469</v>
      </c>
      <c r="B1305" s="3" t="s">
        <v>3470</v>
      </c>
    </row>
    <row r="1306" spans="1:2">
      <c r="A1306" s="3" t="s">
        <v>3471</v>
      </c>
      <c r="B1306" s="3" t="s">
        <v>3472</v>
      </c>
    </row>
    <row r="1307" spans="1:2">
      <c r="A1307" s="3" t="s">
        <v>3473</v>
      </c>
      <c r="B1307" s="3" t="s">
        <v>3474</v>
      </c>
    </row>
    <row r="1308" spans="1:2">
      <c r="A1308" s="3" t="s">
        <v>3475</v>
      </c>
      <c r="B1308" s="3" t="s">
        <v>3476</v>
      </c>
    </row>
    <row r="1309" spans="1:2">
      <c r="A1309" s="3" t="s">
        <v>3477</v>
      </c>
      <c r="B1309" s="3" t="s">
        <v>3478</v>
      </c>
    </row>
    <row r="1310" spans="1:2">
      <c r="A1310" s="3" t="s">
        <v>3479</v>
      </c>
      <c r="B1310" s="3" t="s">
        <v>3480</v>
      </c>
    </row>
    <row r="1311" spans="1:2">
      <c r="A1311" s="3" t="s">
        <v>3481</v>
      </c>
      <c r="B1311" s="3" t="s">
        <v>3482</v>
      </c>
    </row>
    <row r="1312" spans="1:2">
      <c r="A1312" s="3" t="s">
        <v>3483</v>
      </c>
      <c r="B1312" s="3" t="s">
        <v>3484</v>
      </c>
    </row>
    <row r="1313" spans="1:2">
      <c r="A1313" s="3" t="s">
        <v>3485</v>
      </c>
      <c r="B1313" s="3" t="s">
        <v>3486</v>
      </c>
    </row>
    <row r="1314" spans="1:2">
      <c r="A1314" s="3" t="s">
        <v>3487</v>
      </c>
      <c r="B1314" s="3" t="s">
        <v>3488</v>
      </c>
    </row>
    <row r="1315" spans="1:2">
      <c r="A1315" s="3" t="s">
        <v>3489</v>
      </c>
      <c r="B1315" s="3" t="s">
        <v>3490</v>
      </c>
    </row>
    <row r="1316" spans="1:2">
      <c r="A1316" s="3" t="s">
        <v>3491</v>
      </c>
      <c r="B1316" s="3" t="s">
        <v>3492</v>
      </c>
    </row>
    <row r="1317" spans="1:2">
      <c r="A1317" s="3" t="s">
        <v>3493</v>
      </c>
      <c r="B1317" s="3" t="s">
        <v>3494</v>
      </c>
    </row>
    <row r="1318" spans="1:2">
      <c r="A1318" s="3" t="s">
        <v>3495</v>
      </c>
      <c r="B1318" s="3" t="s">
        <v>3496</v>
      </c>
    </row>
    <row r="1319" spans="1:2">
      <c r="A1319" s="3" t="s">
        <v>3497</v>
      </c>
      <c r="B1319" s="3" t="s">
        <v>3498</v>
      </c>
    </row>
    <row r="1320" spans="1:2">
      <c r="A1320" s="3" t="s">
        <v>3499</v>
      </c>
      <c r="B1320" s="3" t="s">
        <v>3500</v>
      </c>
    </row>
    <row r="1321" spans="1:2">
      <c r="A1321" s="3" t="s">
        <v>3501</v>
      </c>
      <c r="B1321" s="3" t="s">
        <v>3502</v>
      </c>
    </row>
    <row r="1322" spans="1:2">
      <c r="A1322" s="3" t="s">
        <v>3503</v>
      </c>
      <c r="B1322" s="3" t="s">
        <v>3504</v>
      </c>
    </row>
    <row r="1323" spans="1:2">
      <c r="A1323" s="3" t="s">
        <v>3505</v>
      </c>
      <c r="B1323" s="3" t="s">
        <v>3506</v>
      </c>
    </row>
    <row r="1324" spans="1:2">
      <c r="A1324" s="3" t="s">
        <v>3507</v>
      </c>
      <c r="B1324" s="3" t="s">
        <v>3508</v>
      </c>
    </row>
    <row r="1325" spans="1:2">
      <c r="A1325" s="3" t="s">
        <v>3509</v>
      </c>
      <c r="B1325" s="3" t="s">
        <v>3510</v>
      </c>
    </row>
    <row r="1326" spans="1:2">
      <c r="A1326" s="3" t="s">
        <v>3511</v>
      </c>
      <c r="B1326" s="3" t="s">
        <v>3512</v>
      </c>
    </row>
    <row r="1327" spans="1:2">
      <c r="A1327" s="3" t="s">
        <v>3513</v>
      </c>
      <c r="B1327" s="3" t="s">
        <v>3514</v>
      </c>
    </row>
    <row r="1328" spans="1:2">
      <c r="A1328" s="3" t="s">
        <v>3515</v>
      </c>
      <c r="B1328" s="3" t="s">
        <v>3516</v>
      </c>
    </row>
    <row r="1329" spans="1:2">
      <c r="A1329" s="3" t="s">
        <v>3517</v>
      </c>
      <c r="B1329" s="3" t="s">
        <v>3518</v>
      </c>
    </row>
    <row r="1330" spans="1:2">
      <c r="A1330" s="3" t="s">
        <v>3519</v>
      </c>
      <c r="B1330" s="3" t="s">
        <v>3520</v>
      </c>
    </row>
    <row r="1331" spans="1:2">
      <c r="A1331" s="3" t="s">
        <v>3521</v>
      </c>
      <c r="B1331" s="3" t="s">
        <v>3522</v>
      </c>
    </row>
    <row r="1332" spans="1:2">
      <c r="A1332" s="3" t="s">
        <v>3523</v>
      </c>
      <c r="B1332" s="3" t="s">
        <v>3524</v>
      </c>
    </row>
    <row r="1333" spans="1:2">
      <c r="A1333" s="3" t="s">
        <v>3525</v>
      </c>
      <c r="B1333" s="3" t="s">
        <v>3526</v>
      </c>
    </row>
    <row r="1334" spans="1:2">
      <c r="A1334" s="3" t="s">
        <v>3527</v>
      </c>
      <c r="B1334" s="3" t="s">
        <v>3528</v>
      </c>
    </row>
    <row r="1335" spans="1:2">
      <c r="A1335" s="3" t="s">
        <v>3529</v>
      </c>
      <c r="B1335" s="3" t="s">
        <v>3530</v>
      </c>
    </row>
    <row r="1336" spans="1:2">
      <c r="A1336" s="3" t="s">
        <v>3531</v>
      </c>
      <c r="B1336" s="3" t="s">
        <v>3532</v>
      </c>
    </row>
    <row r="1337" spans="1:2">
      <c r="A1337" s="3" t="s">
        <v>3533</v>
      </c>
      <c r="B1337" s="3" t="s">
        <v>3534</v>
      </c>
    </row>
    <row r="1338" spans="1:2">
      <c r="A1338" s="3" t="s">
        <v>3535</v>
      </c>
      <c r="B1338" s="3" t="s">
        <v>3536</v>
      </c>
    </row>
    <row r="1339" spans="1:2">
      <c r="A1339" s="3" t="s">
        <v>3537</v>
      </c>
      <c r="B1339" s="3" t="s">
        <v>3538</v>
      </c>
    </row>
    <row r="1340" spans="1:2">
      <c r="A1340" s="3" t="s">
        <v>3539</v>
      </c>
      <c r="B1340" s="3" t="s">
        <v>3540</v>
      </c>
    </row>
    <row r="1341" spans="1:2">
      <c r="A1341" s="3" t="s">
        <v>3541</v>
      </c>
      <c r="B1341" s="3" t="s">
        <v>3542</v>
      </c>
    </row>
    <row r="1342" spans="1:2">
      <c r="A1342" s="3" t="s">
        <v>3543</v>
      </c>
      <c r="B1342" s="3" t="s">
        <v>3544</v>
      </c>
    </row>
    <row r="1343" spans="1:2">
      <c r="A1343" s="3" t="s">
        <v>3545</v>
      </c>
      <c r="B1343" s="3" t="s">
        <v>3546</v>
      </c>
    </row>
    <row r="1344" spans="1:2">
      <c r="A1344" s="3" t="s">
        <v>3547</v>
      </c>
      <c r="B1344" s="3" t="s">
        <v>3548</v>
      </c>
    </row>
    <row r="1345" spans="1:2">
      <c r="A1345" s="3" t="s">
        <v>3549</v>
      </c>
      <c r="B1345" s="3" t="s">
        <v>3550</v>
      </c>
    </row>
    <row r="1346" spans="1:2">
      <c r="A1346" s="3" t="s">
        <v>3551</v>
      </c>
      <c r="B1346" s="3" t="s">
        <v>3552</v>
      </c>
    </row>
    <row r="1347" spans="1:2">
      <c r="A1347" s="3" t="s">
        <v>3553</v>
      </c>
      <c r="B1347" s="3" t="s">
        <v>3554</v>
      </c>
    </row>
    <row r="1348" spans="1:2">
      <c r="A1348" s="3" t="s">
        <v>3555</v>
      </c>
      <c r="B1348" s="3" t="s">
        <v>3556</v>
      </c>
    </row>
    <row r="1349" spans="1:2">
      <c r="A1349" s="3" t="s">
        <v>3557</v>
      </c>
      <c r="B1349" s="3" t="s">
        <v>3558</v>
      </c>
    </row>
    <row r="1350" spans="1:2">
      <c r="A1350" s="3" t="s">
        <v>3559</v>
      </c>
      <c r="B1350" s="3" t="s">
        <v>3560</v>
      </c>
    </row>
    <row r="1351" spans="1:2">
      <c r="A1351" s="3" t="s">
        <v>3561</v>
      </c>
      <c r="B1351" s="3" t="s">
        <v>3562</v>
      </c>
    </row>
    <row r="1352" spans="1:2">
      <c r="A1352" s="3" t="s">
        <v>3563</v>
      </c>
      <c r="B1352" s="3" t="s">
        <v>3564</v>
      </c>
    </row>
    <row r="1353" spans="1:2">
      <c r="A1353" s="3" t="s">
        <v>3565</v>
      </c>
      <c r="B1353" s="3" t="s">
        <v>3566</v>
      </c>
    </row>
    <row r="1354" spans="1:2">
      <c r="A1354" s="3" t="s">
        <v>3567</v>
      </c>
      <c r="B1354" s="3" t="s">
        <v>3568</v>
      </c>
    </row>
    <row r="1355" spans="1:2">
      <c r="A1355" s="3" t="s">
        <v>3569</v>
      </c>
      <c r="B1355" s="3" t="s">
        <v>3570</v>
      </c>
    </row>
    <row r="1356" spans="1:2">
      <c r="A1356" s="3" t="s">
        <v>3571</v>
      </c>
      <c r="B1356" s="3" t="s">
        <v>3572</v>
      </c>
    </row>
    <row r="1357" spans="1:2">
      <c r="A1357" s="3" t="s">
        <v>3573</v>
      </c>
      <c r="B1357" s="3" t="s">
        <v>3574</v>
      </c>
    </row>
    <row r="1358" spans="1:2">
      <c r="A1358" s="3" t="s">
        <v>3575</v>
      </c>
      <c r="B1358" s="3" t="s">
        <v>3576</v>
      </c>
    </row>
    <row r="1359" spans="1:2">
      <c r="A1359" s="3" t="s">
        <v>3577</v>
      </c>
      <c r="B1359" s="3" t="s">
        <v>3578</v>
      </c>
    </row>
    <row r="1360" spans="1:2">
      <c r="A1360" s="3" t="s">
        <v>3579</v>
      </c>
      <c r="B1360" s="3" t="s">
        <v>3580</v>
      </c>
    </row>
    <row r="1361" spans="1:2">
      <c r="A1361" s="3" t="s">
        <v>3581</v>
      </c>
      <c r="B1361" s="3" t="s">
        <v>3582</v>
      </c>
    </row>
    <row r="1362" spans="1:2">
      <c r="A1362" s="3" t="s">
        <v>3583</v>
      </c>
      <c r="B1362" s="3" t="s">
        <v>3584</v>
      </c>
    </row>
    <row r="1363" spans="1:2">
      <c r="A1363" s="3" t="s">
        <v>3585</v>
      </c>
      <c r="B1363" s="3" t="s">
        <v>3586</v>
      </c>
    </row>
    <row r="1364" spans="1:2">
      <c r="A1364" s="3" t="s">
        <v>3587</v>
      </c>
      <c r="B1364" s="3" t="s">
        <v>3588</v>
      </c>
    </row>
    <row r="1365" spans="1:2">
      <c r="A1365" s="3" t="s">
        <v>3589</v>
      </c>
      <c r="B1365" s="3" t="s">
        <v>3590</v>
      </c>
    </row>
    <row r="1366" spans="1:2">
      <c r="A1366" s="3" t="s">
        <v>3591</v>
      </c>
      <c r="B1366" s="3" t="s">
        <v>3592</v>
      </c>
    </row>
    <row r="1367" spans="1:2">
      <c r="A1367" s="3" t="s">
        <v>3593</v>
      </c>
      <c r="B1367" s="3" t="s">
        <v>3594</v>
      </c>
    </row>
    <row r="1368" spans="1:2">
      <c r="A1368" s="3" t="s">
        <v>3595</v>
      </c>
      <c r="B1368" s="3" t="s">
        <v>3596</v>
      </c>
    </row>
    <row r="1369" spans="1:2">
      <c r="A1369" s="3" t="s">
        <v>3597</v>
      </c>
      <c r="B1369" s="3" t="s">
        <v>3598</v>
      </c>
    </row>
    <row r="1370" spans="1:2">
      <c r="A1370" s="3" t="s">
        <v>3599</v>
      </c>
      <c r="B1370" s="3" t="s">
        <v>3600</v>
      </c>
    </row>
    <row r="1371" spans="1:2">
      <c r="A1371" s="3" t="s">
        <v>3601</v>
      </c>
      <c r="B1371" s="3" t="s">
        <v>3602</v>
      </c>
    </row>
    <row r="1372" spans="1:2">
      <c r="A1372" s="3" t="s">
        <v>3603</v>
      </c>
      <c r="B1372" s="3" t="s">
        <v>3604</v>
      </c>
    </row>
    <row r="1373" spans="1:2">
      <c r="A1373" s="3" t="s">
        <v>3605</v>
      </c>
      <c r="B1373" s="3" t="s">
        <v>3606</v>
      </c>
    </row>
    <row r="1374" spans="1:2">
      <c r="A1374" s="3" t="s">
        <v>3607</v>
      </c>
      <c r="B1374" s="3" t="s">
        <v>3608</v>
      </c>
    </row>
    <row r="1375" spans="1:2">
      <c r="A1375" s="3" t="s">
        <v>3609</v>
      </c>
      <c r="B1375" s="3" t="s">
        <v>3610</v>
      </c>
    </row>
    <row r="1376" spans="1:2">
      <c r="A1376" s="3" t="s">
        <v>3611</v>
      </c>
      <c r="B1376" s="3" t="s">
        <v>3612</v>
      </c>
    </row>
    <row r="1377" spans="1:2">
      <c r="A1377" s="3" t="s">
        <v>3613</v>
      </c>
      <c r="B1377" s="3" t="s">
        <v>3614</v>
      </c>
    </row>
    <row r="1378" spans="1:2">
      <c r="A1378" s="3" t="s">
        <v>3615</v>
      </c>
      <c r="B1378" s="3" t="s">
        <v>3616</v>
      </c>
    </row>
    <row r="1379" spans="1:2">
      <c r="A1379" s="3" t="s">
        <v>3617</v>
      </c>
      <c r="B1379" s="3" t="s">
        <v>3618</v>
      </c>
    </row>
    <row r="1380" spans="1:2">
      <c r="A1380" s="3" t="s">
        <v>3619</v>
      </c>
      <c r="B1380" s="3" t="s">
        <v>3620</v>
      </c>
    </row>
    <row r="1381" spans="1:2">
      <c r="A1381" s="3" t="s">
        <v>3621</v>
      </c>
      <c r="B1381" s="3" t="s">
        <v>3622</v>
      </c>
    </row>
    <row r="1382" spans="1:2">
      <c r="A1382" s="3" t="s">
        <v>3623</v>
      </c>
      <c r="B1382" s="3" t="s">
        <v>3624</v>
      </c>
    </row>
    <row r="1383" spans="1:2">
      <c r="A1383" s="3" t="s">
        <v>3625</v>
      </c>
      <c r="B1383" s="3" t="s">
        <v>3626</v>
      </c>
    </row>
    <row r="1384" spans="1:2">
      <c r="A1384" s="3" t="s">
        <v>3627</v>
      </c>
      <c r="B1384" s="3" t="s">
        <v>3628</v>
      </c>
    </row>
    <row r="1385" spans="1:2">
      <c r="A1385" s="3" t="s">
        <v>3629</v>
      </c>
      <c r="B1385" s="3" t="s">
        <v>3630</v>
      </c>
    </row>
    <row r="1386" spans="1:2">
      <c r="A1386" s="3" t="s">
        <v>3631</v>
      </c>
      <c r="B1386" s="3" t="s">
        <v>3632</v>
      </c>
    </row>
    <row r="1387" spans="1:2">
      <c r="A1387" s="3" t="s">
        <v>3633</v>
      </c>
      <c r="B1387" s="3" t="s">
        <v>3634</v>
      </c>
    </row>
    <row r="1388" spans="1:2">
      <c r="A1388" s="3" t="s">
        <v>3635</v>
      </c>
      <c r="B1388" s="3" t="s">
        <v>3636</v>
      </c>
    </row>
    <row r="1389" spans="1:2">
      <c r="A1389" s="3" t="s">
        <v>3637</v>
      </c>
      <c r="B1389" s="3" t="s">
        <v>3638</v>
      </c>
    </row>
    <row r="1390" spans="1:2">
      <c r="A1390" s="3" t="s">
        <v>3639</v>
      </c>
      <c r="B1390" s="3" t="s">
        <v>3640</v>
      </c>
    </row>
    <row r="1391" spans="1:2">
      <c r="A1391" s="3" t="s">
        <v>3641</v>
      </c>
      <c r="B1391" s="3" t="s">
        <v>3642</v>
      </c>
    </row>
    <row r="1392" spans="1:2">
      <c r="A1392" s="3" t="s">
        <v>3643</v>
      </c>
      <c r="B1392" s="3" t="s">
        <v>3644</v>
      </c>
    </row>
    <row r="1393" spans="1:2">
      <c r="A1393" s="3" t="s">
        <v>3645</v>
      </c>
      <c r="B1393" s="3" t="s">
        <v>3646</v>
      </c>
    </row>
    <row r="1394" spans="1:2">
      <c r="A1394" s="3" t="s">
        <v>3647</v>
      </c>
      <c r="B1394" s="3" t="s">
        <v>3648</v>
      </c>
    </row>
    <row r="1395" spans="1:2">
      <c r="A1395" s="3" t="s">
        <v>3649</v>
      </c>
      <c r="B1395" s="3" t="s">
        <v>3650</v>
      </c>
    </row>
    <row r="1396" spans="1:2">
      <c r="A1396" s="3" t="s">
        <v>3651</v>
      </c>
      <c r="B1396" s="3" t="s">
        <v>3652</v>
      </c>
    </row>
    <row r="1397" spans="1:2">
      <c r="A1397" s="3" t="s">
        <v>3653</v>
      </c>
      <c r="B1397" s="3" t="s">
        <v>3654</v>
      </c>
    </row>
    <row r="1398" spans="1:2">
      <c r="A1398" s="3" t="s">
        <v>246</v>
      </c>
      <c r="B1398" s="3" t="s">
        <v>3655</v>
      </c>
    </row>
    <row r="1399" spans="1:2">
      <c r="A1399" s="3" t="s">
        <v>3656</v>
      </c>
      <c r="B1399" s="3" t="s">
        <v>3657</v>
      </c>
    </row>
    <row r="1400" spans="1:2">
      <c r="A1400" s="3" t="s">
        <v>3658</v>
      </c>
      <c r="B1400" s="3" t="s">
        <v>3659</v>
      </c>
    </row>
    <row r="1401" spans="1:2">
      <c r="A1401" s="3" t="s">
        <v>3660</v>
      </c>
      <c r="B1401" s="3" t="s">
        <v>3661</v>
      </c>
    </row>
    <row r="1402" spans="1:2">
      <c r="A1402" s="3" t="s">
        <v>3662</v>
      </c>
      <c r="B1402" s="3" t="s">
        <v>3663</v>
      </c>
    </row>
    <row r="1403" spans="1:2">
      <c r="A1403" s="3" t="s">
        <v>3664</v>
      </c>
      <c r="B1403" s="3" t="s">
        <v>3665</v>
      </c>
    </row>
    <row r="1404" spans="1:2">
      <c r="A1404" s="3" t="s">
        <v>3666</v>
      </c>
      <c r="B1404" s="3" t="s">
        <v>3667</v>
      </c>
    </row>
    <row r="1405" spans="1:2">
      <c r="A1405" s="3" t="s">
        <v>3668</v>
      </c>
      <c r="B1405" s="3" t="s">
        <v>3669</v>
      </c>
    </row>
    <row r="1406" spans="1:2">
      <c r="A1406" s="3" t="s">
        <v>3670</v>
      </c>
      <c r="B1406" s="3" t="s">
        <v>3671</v>
      </c>
    </row>
    <row r="1407" spans="1:2">
      <c r="A1407" s="3" t="s">
        <v>3672</v>
      </c>
      <c r="B1407" s="3" t="s">
        <v>3673</v>
      </c>
    </row>
    <row r="1408" spans="1:2">
      <c r="A1408" s="3" t="s">
        <v>3674</v>
      </c>
      <c r="B1408" s="3" t="s">
        <v>3675</v>
      </c>
    </row>
    <row r="1409" spans="1:2">
      <c r="A1409" s="3" t="s">
        <v>3676</v>
      </c>
      <c r="B1409" s="3" t="s">
        <v>3677</v>
      </c>
    </row>
    <row r="1410" spans="1:2">
      <c r="A1410" s="3" t="s">
        <v>3678</v>
      </c>
      <c r="B1410" s="3" t="s">
        <v>3679</v>
      </c>
    </row>
    <row r="1411" spans="1:2">
      <c r="A1411" s="3" t="s">
        <v>3680</v>
      </c>
      <c r="B1411" s="3" t="s">
        <v>3681</v>
      </c>
    </row>
    <row r="1412" spans="1:2">
      <c r="A1412" s="3" t="s">
        <v>3682</v>
      </c>
      <c r="B1412" s="3" t="s">
        <v>3683</v>
      </c>
    </row>
    <row r="1413" spans="1:2">
      <c r="A1413" s="3" t="s">
        <v>3684</v>
      </c>
      <c r="B1413" s="3" t="s">
        <v>3685</v>
      </c>
    </row>
    <row r="1414" spans="1:2">
      <c r="A1414" s="3" t="s">
        <v>3686</v>
      </c>
      <c r="B1414" s="3" t="s">
        <v>3687</v>
      </c>
    </row>
    <row r="1415" spans="1:2">
      <c r="A1415" s="3" t="s">
        <v>3688</v>
      </c>
      <c r="B1415" s="3" t="s">
        <v>3689</v>
      </c>
    </row>
    <row r="1416" spans="1:2">
      <c r="A1416" s="3" t="s">
        <v>3690</v>
      </c>
      <c r="B1416" s="3" t="s">
        <v>3691</v>
      </c>
    </row>
    <row r="1417" spans="1:2">
      <c r="A1417" s="3" t="s">
        <v>3692</v>
      </c>
      <c r="B1417" s="3" t="s">
        <v>3693</v>
      </c>
    </row>
    <row r="1418" spans="1:2">
      <c r="A1418" s="3" t="s">
        <v>3694</v>
      </c>
      <c r="B1418" s="3" t="s">
        <v>3695</v>
      </c>
    </row>
    <row r="1419" spans="1:2">
      <c r="A1419" s="3" t="s">
        <v>3696</v>
      </c>
      <c r="B1419" s="3" t="s">
        <v>3697</v>
      </c>
    </row>
    <row r="1420" spans="1:2">
      <c r="A1420" s="3" t="s">
        <v>3698</v>
      </c>
      <c r="B1420" s="3" t="s">
        <v>3699</v>
      </c>
    </row>
    <row r="1421" spans="1:2">
      <c r="A1421" s="3" t="s">
        <v>3700</v>
      </c>
      <c r="B1421" s="3" t="s">
        <v>3701</v>
      </c>
    </row>
    <row r="1422" spans="1:2">
      <c r="A1422" s="3" t="s">
        <v>3702</v>
      </c>
      <c r="B1422" s="3" t="s">
        <v>3703</v>
      </c>
    </row>
    <row r="1423" spans="1:2">
      <c r="A1423" s="3" t="s">
        <v>3704</v>
      </c>
      <c r="B1423" s="3" t="s">
        <v>3705</v>
      </c>
    </row>
    <row r="1424" spans="1:2">
      <c r="A1424" s="3" t="s">
        <v>3706</v>
      </c>
      <c r="B1424" s="3" t="s">
        <v>3707</v>
      </c>
    </row>
    <row r="1425" spans="1:2">
      <c r="A1425" s="3" t="s">
        <v>3708</v>
      </c>
      <c r="B1425" s="3" t="s">
        <v>3709</v>
      </c>
    </row>
    <row r="1426" spans="1:2">
      <c r="A1426" s="3" t="s">
        <v>3710</v>
      </c>
      <c r="B1426" s="3" t="s">
        <v>3711</v>
      </c>
    </row>
    <row r="1427" spans="1:2">
      <c r="A1427" s="3" t="s">
        <v>3712</v>
      </c>
      <c r="B1427" s="3" t="s">
        <v>3713</v>
      </c>
    </row>
    <row r="1428" spans="1:2">
      <c r="A1428" s="3" t="s">
        <v>3714</v>
      </c>
      <c r="B1428" s="3" t="s">
        <v>3715</v>
      </c>
    </row>
    <row r="1429" spans="1:2">
      <c r="A1429" s="3" t="s">
        <v>3716</v>
      </c>
      <c r="B1429" s="3" t="s">
        <v>3717</v>
      </c>
    </row>
    <row r="1430" spans="1:2">
      <c r="A1430" s="3" t="s">
        <v>3718</v>
      </c>
      <c r="B1430" s="3" t="s">
        <v>3719</v>
      </c>
    </row>
    <row r="1431" spans="1:2">
      <c r="A1431" s="3" t="s">
        <v>3720</v>
      </c>
      <c r="B1431" s="3" t="s">
        <v>3721</v>
      </c>
    </row>
    <row r="1432" spans="1:2">
      <c r="A1432" s="3" t="s">
        <v>3722</v>
      </c>
      <c r="B1432" s="3" t="s">
        <v>3723</v>
      </c>
    </row>
    <row r="1433" spans="1:2">
      <c r="A1433" s="3" t="s">
        <v>3724</v>
      </c>
      <c r="B1433" s="3" t="s">
        <v>3725</v>
      </c>
    </row>
    <row r="1434" spans="1:2">
      <c r="A1434" s="3" t="s">
        <v>3726</v>
      </c>
      <c r="B1434" s="3" t="s">
        <v>3727</v>
      </c>
    </row>
    <row r="1435" spans="1:2">
      <c r="A1435" s="3" t="s">
        <v>3728</v>
      </c>
      <c r="B1435" s="3" t="s">
        <v>3729</v>
      </c>
    </row>
    <row r="1436" spans="1:2">
      <c r="A1436" s="3" t="s">
        <v>3730</v>
      </c>
      <c r="B1436" s="3" t="s">
        <v>3731</v>
      </c>
    </row>
    <row r="1437" spans="1:2">
      <c r="A1437" s="3" t="s">
        <v>3732</v>
      </c>
      <c r="B1437" s="3" t="s">
        <v>3733</v>
      </c>
    </row>
    <row r="1438" spans="1:2">
      <c r="A1438" s="3" t="s">
        <v>3734</v>
      </c>
      <c r="B1438" s="3" t="s">
        <v>3735</v>
      </c>
    </row>
    <row r="1439" spans="1:2">
      <c r="A1439" s="3" t="s">
        <v>3736</v>
      </c>
      <c r="B1439" s="3" t="s">
        <v>3737</v>
      </c>
    </row>
    <row r="1440" spans="1:2">
      <c r="A1440" s="3" t="s">
        <v>3738</v>
      </c>
      <c r="B1440" s="3" t="s">
        <v>3739</v>
      </c>
    </row>
    <row r="1441" spans="1:2">
      <c r="A1441" s="3" t="s">
        <v>3740</v>
      </c>
      <c r="B1441" s="3" t="s">
        <v>3741</v>
      </c>
    </row>
    <row r="1442" spans="1:2">
      <c r="A1442" s="3" t="s">
        <v>3742</v>
      </c>
      <c r="B1442" s="3" t="s">
        <v>3743</v>
      </c>
    </row>
    <row r="1443" spans="1:2">
      <c r="A1443" s="3" t="s">
        <v>3744</v>
      </c>
      <c r="B1443" s="3" t="s">
        <v>3745</v>
      </c>
    </row>
    <row r="1444" spans="1:2">
      <c r="A1444" s="3" t="s">
        <v>3746</v>
      </c>
      <c r="B1444" s="3" t="s">
        <v>3747</v>
      </c>
    </row>
    <row r="1445" spans="1:2">
      <c r="A1445" s="3" t="s">
        <v>3748</v>
      </c>
      <c r="B1445" s="3" t="s">
        <v>3749</v>
      </c>
    </row>
    <row r="1446" spans="1:2">
      <c r="A1446" s="3" t="s">
        <v>3750</v>
      </c>
      <c r="B1446" s="3" t="s">
        <v>3751</v>
      </c>
    </row>
    <row r="1447" spans="1:2">
      <c r="A1447" s="3" t="s">
        <v>3752</v>
      </c>
      <c r="B1447" s="3" t="s">
        <v>3753</v>
      </c>
    </row>
    <row r="1448" spans="1:2">
      <c r="A1448" s="3" t="s">
        <v>3754</v>
      </c>
      <c r="B1448" s="3" t="s">
        <v>3755</v>
      </c>
    </row>
    <row r="1449" spans="1:2">
      <c r="A1449" s="3" t="s">
        <v>3756</v>
      </c>
      <c r="B1449" s="3" t="s">
        <v>3757</v>
      </c>
    </row>
    <row r="1450" spans="1:2">
      <c r="A1450" s="3" t="s">
        <v>687</v>
      </c>
      <c r="B1450" s="3" t="s">
        <v>3758</v>
      </c>
    </row>
    <row r="1451" spans="1:2">
      <c r="A1451" s="3" t="s">
        <v>3759</v>
      </c>
      <c r="B1451" s="3" t="s">
        <v>3760</v>
      </c>
    </row>
    <row r="1452" spans="1:2">
      <c r="A1452" s="3" t="s">
        <v>3761</v>
      </c>
      <c r="B1452" s="3" t="s">
        <v>3762</v>
      </c>
    </row>
    <row r="1453" spans="1:2">
      <c r="A1453" s="3" t="s">
        <v>3763</v>
      </c>
      <c r="B1453" s="3" t="s">
        <v>3764</v>
      </c>
    </row>
    <row r="1454" spans="1:2">
      <c r="A1454" s="3" t="s">
        <v>3765</v>
      </c>
      <c r="B1454" s="3" t="s">
        <v>3766</v>
      </c>
    </row>
    <row r="1455" spans="1:2">
      <c r="A1455" s="3" t="s">
        <v>3767</v>
      </c>
      <c r="B1455" s="3" t="s">
        <v>3768</v>
      </c>
    </row>
    <row r="1456" spans="1:2">
      <c r="A1456" s="3" t="s">
        <v>3769</v>
      </c>
      <c r="B1456" s="3" t="s">
        <v>3770</v>
      </c>
    </row>
    <row r="1457" spans="1:2">
      <c r="A1457" s="3" t="s">
        <v>3771</v>
      </c>
      <c r="B1457" s="3" t="s">
        <v>3772</v>
      </c>
    </row>
    <row r="1458" spans="1:2">
      <c r="A1458" s="3" t="s">
        <v>3773</v>
      </c>
      <c r="B1458" s="3" t="s">
        <v>3774</v>
      </c>
    </row>
    <row r="1459" spans="1:2">
      <c r="A1459" s="3" t="s">
        <v>3775</v>
      </c>
      <c r="B1459" s="3" t="s">
        <v>3776</v>
      </c>
    </row>
    <row r="1460" spans="1:2">
      <c r="A1460" s="3" t="s">
        <v>3777</v>
      </c>
      <c r="B1460" s="3" t="s">
        <v>3778</v>
      </c>
    </row>
    <row r="1461" spans="1:2">
      <c r="A1461" s="3" t="s">
        <v>3779</v>
      </c>
      <c r="B1461" s="3" t="s">
        <v>3780</v>
      </c>
    </row>
    <row r="1462" spans="1:2">
      <c r="A1462" s="3" t="s">
        <v>3781</v>
      </c>
      <c r="B1462" s="3" t="s">
        <v>3782</v>
      </c>
    </row>
    <row r="1463" spans="1:2">
      <c r="A1463" s="3" t="s">
        <v>3783</v>
      </c>
      <c r="B1463" s="3" t="s">
        <v>3784</v>
      </c>
    </row>
    <row r="1464" spans="1:2">
      <c r="A1464" s="3" t="s">
        <v>3785</v>
      </c>
      <c r="B1464" s="3" t="s">
        <v>3786</v>
      </c>
    </row>
    <row r="1465" spans="1:2">
      <c r="A1465" s="3" t="s">
        <v>3787</v>
      </c>
      <c r="B1465" s="3" t="s">
        <v>3788</v>
      </c>
    </row>
    <row r="1466" spans="1:2">
      <c r="A1466" s="3" t="s">
        <v>3789</v>
      </c>
      <c r="B1466" s="3" t="s">
        <v>3790</v>
      </c>
    </row>
    <row r="1467" spans="1:2">
      <c r="A1467" s="3" t="s">
        <v>3791</v>
      </c>
      <c r="B1467" s="3" t="s">
        <v>3792</v>
      </c>
    </row>
    <row r="1468" spans="1:2">
      <c r="A1468" s="3" t="s">
        <v>3793</v>
      </c>
      <c r="B1468" s="3" t="s">
        <v>3794</v>
      </c>
    </row>
    <row r="1469" spans="1:2">
      <c r="A1469" s="3" t="s">
        <v>3795</v>
      </c>
      <c r="B1469" s="3" t="s">
        <v>3796</v>
      </c>
    </row>
    <row r="1470" spans="1:2">
      <c r="A1470" s="3" t="s">
        <v>3797</v>
      </c>
      <c r="B1470" s="3" t="s">
        <v>3798</v>
      </c>
    </row>
    <row r="1471" spans="1:2">
      <c r="A1471" s="3" t="s">
        <v>3799</v>
      </c>
      <c r="B1471" s="3" t="s">
        <v>3800</v>
      </c>
    </row>
    <row r="1472" spans="1:2">
      <c r="A1472" s="3" t="s">
        <v>3801</v>
      </c>
      <c r="B1472" s="3" t="s">
        <v>3802</v>
      </c>
    </row>
    <row r="1473" spans="1:2">
      <c r="A1473" s="3" t="s">
        <v>3803</v>
      </c>
      <c r="B1473" s="3" t="s">
        <v>3804</v>
      </c>
    </row>
    <row r="1474" spans="1:2">
      <c r="A1474" s="3" t="s">
        <v>3805</v>
      </c>
      <c r="B1474" s="3" t="s">
        <v>3806</v>
      </c>
    </row>
    <row r="1475" spans="1:2">
      <c r="A1475" s="3" t="s">
        <v>3807</v>
      </c>
      <c r="B1475" s="3" t="s">
        <v>3808</v>
      </c>
    </row>
    <row r="1476" spans="1:2">
      <c r="A1476" s="3" t="s">
        <v>3809</v>
      </c>
      <c r="B1476" s="3" t="s">
        <v>3810</v>
      </c>
    </row>
    <row r="1477" spans="1:2">
      <c r="A1477" s="3" t="s">
        <v>3811</v>
      </c>
      <c r="B1477" s="3" t="s">
        <v>3812</v>
      </c>
    </row>
    <row r="1478" spans="1:2">
      <c r="A1478" s="3" t="s">
        <v>3813</v>
      </c>
      <c r="B1478" s="3" t="s">
        <v>3814</v>
      </c>
    </row>
    <row r="1479" spans="1:2">
      <c r="A1479" s="3" t="s">
        <v>3815</v>
      </c>
      <c r="B1479" s="3" t="s">
        <v>3816</v>
      </c>
    </row>
    <row r="1480" spans="1:2">
      <c r="A1480" s="3" t="s">
        <v>3817</v>
      </c>
      <c r="B1480" s="3" t="s">
        <v>3818</v>
      </c>
    </row>
    <row r="1481" spans="1:2">
      <c r="A1481" s="3" t="s">
        <v>3819</v>
      </c>
      <c r="B1481" s="3" t="s">
        <v>3820</v>
      </c>
    </row>
    <row r="1482" spans="1:2">
      <c r="A1482" s="3" t="s">
        <v>3821</v>
      </c>
      <c r="B1482" s="3" t="s">
        <v>3822</v>
      </c>
    </row>
    <row r="1483" spans="1:2">
      <c r="A1483" s="3" t="s">
        <v>3823</v>
      </c>
      <c r="B1483" s="3" t="s">
        <v>3824</v>
      </c>
    </row>
    <row r="1484" spans="1:2">
      <c r="A1484" s="3" t="s">
        <v>3825</v>
      </c>
      <c r="B1484" s="3" t="s">
        <v>3826</v>
      </c>
    </row>
    <row r="1485" spans="1:2">
      <c r="A1485" s="3" t="s">
        <v>3827</v>
      </c>
      <c r="B1485" s="3" t="s">
        <v>3828</v>
      </c>
    </row>
    <row r="1486" spans="1:2">
      <c r="A1486" s="3" t="s">
        <v>3829</v>
      </c>
      <c r="B1486" s="3" t="s">
        <v>3830</v>
      </c>
    </row>
    <row r="1487" spans="1:2">
      <c r="A1487" s="3" t="s">
        <v>3831</v>
      </c>
      <c r="B1487" s="3" t="s">
        <v>3832</v>
      </c>
    </row>
    <row r="1488" spans="1:2">
      <c r="A1488" s="3" t="s">
        <v>3833</v>
      </c>
      <c r="B1488" s="3" t="s">
        <v>3834</v>
      </c>
    </row>
    <row r="1489" spans="1:2">
      <c r="A1489" s="3" t="s">
        <v>3835</v>
      </c>
      <c r="B1489" s="3" t="s">
        <v>3836</v>
      </c>
    </row>
    <row r="1490" spans="1:2">
      <c r="A1490" s="3" t="s">
        <v>3837</v>
      </c>
      <c r="B1490" s="3" t="s">
        <v>3838</v>
      </c>
    </row>
    <row r="1491" spans="1:2">
      <c r="A1491" s="3" t="s">
        <v>3839</v>
      </c>
      <c r="B1491" s="3" t="s">
        <v>3840</v>
      </c>
    </row>
    <row r="1492" spans="1:2">
      <c r="A1492" s="3" t="s">
        <v>3841</v>
      </c>
      <c r="B1492" s="3" t="s">
        <v>3842</v>
      </c>
    </row>
    <row r="1493" spans="1:2">
      <c r="A1493" s="3" t="s">
        <v>3843</v>
      </c>
      <c r="B1493" s="3" t="s">
        <v>3844</v>
      </c>
    </row>
    <row r="1494" spans="1:2">
      <c r="A1494" s="3" t="s">
        <v>3845</v>
      </c>
      <c r="B1494" s="3" t="s">
        <v>3840</v>
      </c>
    </row>
    <row r="1495" spans="1:2">
      <c r="A1495" s="3" t="s">
        <v>3846</v>
      </c>
      <c r="B1495" s="3" t="s">
        <v>3847</v>
      </c>
    </row>
    <row r="1496" spans="1:2">
      <c r="A1496" s="3" t="s">
        <v>3848</v>
      </c>
      <c r="B1496" s="3" t="s">
        <v>3849</v>
      </c>
    </row>
    <row r="1497" spans="1:2">
      <c r="A1497" s="3" t="s">
        <v>3850</v>
      </c>
      <c r="B1497" s="3" t="s">
        <v>3851</v>
      </c>
    </row>
    <row r="1498" spans="1:2">
      <c r="A1498" s="3" t="s">
        <v>3852</v>
      </c>
      <c r="B1498" s="3" t="s">
        <v>3853</v>
      </c>
    </row>
    <row r="1499" spans="1:2">
      <c r="A1499" s="3" t="s">
        <v>3854</v>
      </c>
      <c r="B1499" s="3" t="s">
        <v>3855</v>
      </c>
    </row>
    <row r="1500" spans="1:2">
      <c r="A1500" s="3" t="s">
        <v>3856</v>
      </c>
      <c r="B1500" s="3" t="s">
        <v>3857</v>
      </c>
    </row>
    <row r="1501" spans="1:2">
      <c r="A1501" s="3" t="s">
        <v>3858</v>
      </c>
      <c r="B1501" s="3" t="s">
        <v>3859</v>
      </c>
    </row>
    <row r="1502" spans="1:2">
      <c r="A1502" s="3" t="s">
        <v>3860</v>
      </c>
      <c r="B1502" s="3" t="s">
        <v>3861</v>
      </c>
    </row>
    <row r="1503" spans="1:2">
      <c r="A1503" s="3" t="s">
        <v>3862</v>
      </c>
      <c r="B1503" s="3" t="s">
        <v>3863</v>
      </c>
    </row>
    <row r="1504" spans="1:2">
      <c r="A1504" s="3" t="s">
        <v>3864</v>
      </c>
      <c r="B1504" s="3" t="s">
        <v>3865</v>
      </c>
    </row>
    <row r="1505" spans="1:2">
      <c r="A1505" s="3" t="s">
        <v>3866</v>
      </c>
      <c r="B1505" s="3" t="s">
        <v>3867</v>
      </c>
    </row>
    <row r="1506" spans="1:2">
      <c r="A1506" s="3" t="s">
        <v>3868</v>
      </c>
      <c r="B1506" s="3" t="s">
        <v>3869</v>
      </c>
    </row>
    <row r="1507" spans="1:2">
      <c r="A1507" s="3" t="s">
        <v>3870</v>
      </c>
      <c r="B1507" s="3" t="s">
        <v>3871</v>
      </c>
    </row>
    <row r="1508" spans="1:2">
      <c r="A1508" s="3" t="s">
        <v>3872</v>
      </c>
      <c r="B1508" s="3" t="s">
        <v>3873</v>
      </c>
    </row>
    <row r="1509" spans="1:2">
      <c r="A1509" s="3" t="s">
        <v>3874</v>
      </c>
      <c r="B1509" s="3" t="s">
        <v>3875</v>
      </c>
    </row>
    <row r="1510" spans="1:2">
      <c r="A1510" s="3" t="s">
        <v>3876</v>
      </c>
      <c r="B1510" s="3" t="s">
        <v>3877</v>
      </c>
    </row>
    <row r="1511" spans="1:2">
      <c r="A1511" s="3" t="s">
        <v>3878</v>
      </c>
      <c r="B1511" s="3" t="s">
        <v>3879</v>
      </c>
    </row>
    <row r="1512" spans="1:2">
      <c r="A1512" s="3" t="s">
        <v>3880</v>
      </c>
      <c r="B1512" s="3" t="s">
        <v>3881</v>
      </c>
    </row>
    <row r="1513" spans="1:2">
      <c r="A1513" s="3" t="s">
        <v>3882</v>
      </c>
      <c r="B1513" s="3" t="s">
        <v>3883</v>
      </c>
    </row>
    <row r="1514" spans="1:2">
      <c r="A1514" s="3" t="s">
        <v>3884</v>
      </c>
      <c r="B1514" s="3" t="s">
        <v>3885</v>
      </c>
    </row>
    <row r="1515" spans="1:2">
      <c r="A1515" s="3" t="s">
        <v>3886</v>
      </c>
      <c r="B1515" s="3" t="s">
        <v>3887</v>
      </c>
    </row>
    <row r="1516" spans="1:2">
      <c r="A1516" s="3" t="s">
        <v>3888</v>
      </c>
      <c r="B1516" s="3" t="s">
        <v>3889</v>
      </c>
    </row>
    <row r="1517" spans="1:2">
      <c r="A1517" s="3" t="s">
        <v>3890</v>
      </c>
      <c r="B1517" s="3" t="s">
        <v>3891</v>
      </c>
    </row>
    <row r="1518" spans="1:2">
      <c r="A1518" s="3" t="s">
        <v>3892</v>
      </c>
      <c r="B1518" s="3" t="s">
        <v>3893</v>
      </c>
    </row>
    <row r="1519" spans="1:2">
      <c r="A1519" s="3" t="s">
        <v>3894</v>
      </c>
      <c r="B1519" s="3" t="s">
        <v>3895</v>
      </c>
    </row>
    <row r="1520" spans="1:2">
      <c r="A1520" s="3" t="s">
        <v>3896</v>
      </c>
      <c r="B1520" s="3" t="s">
        <v>3897</v>
      </c>
    </row>
    <row r="1521" spans="1:2">
      <c r="A1521" s="3" t="s">
        <v>3898</v>
      </c>
      <c r="B1521" s="3" t="s">
        <v>3899</v>
      </c>
    </row>
    <row r="1522" spans="1:2">
      <c r="A1522" s="3" t="s">
        <v>3900</v>
      </c>
      <c r="B1522" s="3" t="s">
        <v>3901</v>
      </c>
    </row>
    <row r="1523" spans="1:2">
      <c r="A1523" s="3" t="s">
        <v>3902</v>
      </c>
      <c r="B1523" s="3" t="s">
        <v>3903</v>
      </c>
    </row>
    <row r="1524" spans="1:2">
      <c r="A1524" s="3" t="s">
        <v>3904</v>
      </c>
      <c r="B1524" s="3" t="s">
        <v>3905</v>
      </c>
    </row>
    <row r="1525" spans="1:2">
      <c r="A1525" s="3" t="s">
        <v>3906</v>
      </c>
      <c r="B1525" s="3" t="s">
        <v>3907</v>
      </c>
    </row>
    <row r="1526" spans="1:2">
      <c r="A1526" s="3" t="s">
        <v>3908</v>
      </c>
      <c r="B1526" s="3" t="s">
        <v>3909</v>
      </c>
    </row>
    <row r="1527" spans="1:2">
      <c r="A1527" s="3" t="s">
        <v>3910</v>
      </c>
      <c r="B1527" s="3" t="s">
        <v>3911</v>
      </c>
    </row>
    <row r="1528" spans="1:2">
      <c r="A1528" s="3" t="s">
        <v>3912</v>
      </c>
      <c r="B1528" s="3" t="s">
        <v>3913</v>
      </c>
    </row>
    <row r="1529" spans="1:2">
      <c r="A1529" s="3" t="s">
        <v>3914</v>
      </c>
      <c r="B1529" s="3" t="s">
        <v>3915</v>
      </c>
    </row>
    <row r="1530" spans="1:2">
      <c r="A1530" s="3" t="s">
        <v>3916</v>
      </c>
      <c r="B1530" s="3" t="s">
        <v>3917</v>
      </c>
    </row>
    <row r="1531" spans="1:2">
      <c r="A1531" s="3" t="s">
        <v>3918</v>
      </c>
      <c r="B1531" s="3" t="s">
        <v>3919</v>
      </c>
    </row>
    <row r="1532" spans="1:2">
      <c r="A1532" s="3" t="s">
        <v>3920</v>
      </c>
      <c r="B1532" s="3" t="s">
        <v>3921</v>
      </c>
    </row>
    <row r="1533" spans="1:2">
      <c r="A1533" s="3" t="s">
        <v>3922</v>
      </c>
      <c r="B1533" s="3" t="s">
        <v>3923</v>
      </c>
    </row>
    <row r="1534" spans="1:2">
      <c r="A1534" s="3" t="s">
        <v>3924</v>
      </c>
      <c r="B1534" s="3" t="s">
        <v>3925</v>
      </c>
    </row>
    <row r="1535" spans="1:2">
      <c r="A1535" s="3" t="s">
        <v>3926</v>
      </c>
      <c r="B1535" s="3" t="s">
        <v>3927</v>
      </c>
    </row>
    <row r="1536" spans="1:2">
      <c r="A1536" s="3" t="s">
        <v>3928</v>
      </c>
      <c r="B1536" s="3" t="s">
        <v>3929</v>
      </c>
    </row>
    <row r="1537" spans="1:2">
      <c r="A1537" s="3" t="s">
        <v>3930</v>
      </c>
      <c r="B1537" s="3" t="s">
        <v>3931</v>
      </c>
    </row>
    <row r="1538" spans="1:2">
      <c r="A1538" s="3" t="s">
        <v>3932</v>
      </c>
      <c r="B1538" s="3" t="s">
        <v>3933</v>
      </c>
    </row>
    <row r="1539" spans="1:2">
      <c r="A1539" s="3" t="s">
        <v>3934</v>
      </c>
      <c r="B1539" s="3" t="s">
        <v>3935</v>
      </c>
    </row>
    <row r="1540" spans="1:2">
      <c r="A1540" s="3" t="s">
        <v>3936</v>
      </c>
      <c r="B1540" s="3" t="s">
        <v>3937</v>
      </c>
    </row>
    <row r="1541" spans="1:2">
      <c r="A1541" s="3" t="s">
        <v>3938</v>
      </c>
      <c r="B1541" s="3" t="s">
        <v>3939</v>
      </c>
    </row>
    <row r="1542" spans="1:2">
      <c r="A1542" s="3" t="s">
        <v>3940</v>
      </c>
      <c r="B1542" s="3" t="s">
        <v>3941</v>
      </c>
    </row>
    <row r="1543" spans="1:2">
      <c r="A1543" s="3" t="s">
        <v>3942</v>
      </c>
      <c r="B1543" s="3" t="s">
        <v>3943</v>
      </c>
    </row>
    <row r="1544" spans="1:2">
      <c r="A1544" s="3" t="s">
        <v>3944</v>
      </c>
      <c r="B1544" s="3" t="s">
        <v>3945</v>
      </c>
    </row>
    <row r="1545" spans="1:2">
      <c r="A1545" s="3" t="s">
        <v>3946</v>
      </c>
      <c r="B1545" s="3" t="s">
        <v>3947</v>
      </c>
    </row>
    <row r="1546" spans="1:2">
      <c r="A1546" s="3" t="s">
        <v>3948</v>
      </c>
      <c r="B1546" s="3" t="s">
        <v>3949</v>
      </c>
    </row>
    <row r="1547" spans="1:2">
      <c r="A1547" s="3" t="s">
        <v>3950</v>
      </c>
      <c r="B1547" s="3" t="s">
        <v>3951</v>
      </c>
    </row>
    <row r="1548" spans="1:2">
      <c r="A1548" s="3" t="s">
        <v>3952</v>
      </c>
      <c r="B1548" s="3" t="s">
        <v>3953</v>
      </c>
    </row>
    <row r="1549" spans="1:2">
      <c r="A1549" s="3" t="s">
        <v>3954</v>
      </c>
      <c r="B1549" s="3" t="s">
        <v>3955</v>
      </c>
    </row>
    <row r="1550" spans="1:2">
      <c r="A1550" s="3" t="s">
        <v>3956</v>
      </c>
      <c r="B1550" s="3" t="s">
        <v>3957</v>
      </c>
    </row>
    <row r="1551" spans="1:2">
      <c r="A1551" s="3" t="s">
        <v>3958</v>
      </c>
      <c r="B1551" s="3" t="s">
        <v>3959</v>
      </c>
    </row>
    <row r="1552" spans="1:2">
      <c r="A1552" s="3" t="s">
        <v>3960</v>
      </c>
      <c r="B1552" s="3" t="s">
        <v>3961</v>
      </c>
    </row>
    <row r="1553" spans="1:2">
      <c r="A1553" s="3" t="s">
        <v>3962</v>
      </c>
      <c r="B1553" s="3" t="s">
        <v>3963</v>
      </c>
    </row>
    <row r="1554" spans="1:2">
      <c r="A1554" s="3" t="s">
        <v>3964</v>
      </c>
      <c r="B1554" s="3" t="s">
        <v>3965</v>
      </c>
    </row>
    <row r="1555" spans="1:2">
      <c r="A1555" s="3" t="s">
        <v>3966</v>
      </c>
      <c r="B1555" s="3" t="s">
        <v>3967</v>
      </c>
    </row>
    <row r="1556" spans="1:2">
      <c r="A1556" s="3" t="s">
        <v>3968</v>
      </c>
      <c r="B1556" s="3" t="s">
        <v>3969</v>
      </c>
    </row>
    <row r="1557" spans="1:2">
      <c r="A1557" s="3" t="s">
        <v>709</v>
      </c>
      <c r="B1557" s="3" t="s">
        <v>3970</v>
      </c>
    </row>
    <row r="1558" spans="1:2">
      <c r="A1558" s="3" t="s">
        <v>3971</v>
      </c>
      <c r="B1558" s="3" t="s">
        <v>3972</v>
      </c>
    </row>
    <row r="1559" spans="1:2">
      <c r="A1559" s="3" t="s">
        <v>3973</v>
      </c>
      <c r="B1559" s="3" t="s">
        <v>3974</v>
      </c>
    </row>
    <row r="1560" spans="1:2">
      <c r="A1560" s="3" t="s">
        <v>3975</v>
      </c>
      <c r="B1560" s="3" t="s">
        <v>909</v>
      </c>
    </row>
    <row r="1561" spans="1:2">
      <c r="A1561" s="3" t="s">
        <v>3976</v>
      </c>
      <c r="B1561" s="3" t="s">
        <v>3977</v>
      </c>
    </row>
    <row r="1562" spans="1:2">
      <c r="A1562" s="3" t="s">
        <v>3978</v>
      </c>
      <c r="B1562" s="3" t="s">
        <v>3979</v>
      </c>
    </row>
    <row r="1563" spans="1:2">
      <c r="A1563" s="3" t="s">
        <v>3980</v>
      </c>
      <c r="B1563" s="3" t="s">
        <v>3981</v>
      </c>
    </row>
    <row r="1564" spans="1:2">
      <c r="A1564" s="3" t="s">
        <v>3982</v>
      </c>
      <c r="B1564" s="3" t="s">
        <v>3983</v>
      </c>
    </row>
    <row r="1565" spans="1:2">
      <c r="A1565" s="3" t="s">
        <v>3984</v>
      </c>
      <c r="B1565" s="3" t="s">
        <v>3985</v>
      </c>
    </row>
    <row r="1566" spans="1:2">
      <c r="A1566" s="3" t="s">
        <v>3986</v>
      </c>
      <c r="B1566" s="3" t="s">
        <v>3987</v>
      </c>
    </row>
    <row r="1567" spans="1:2">
      <c r="A1567" s="3" t="s">
        <v>3988</v>
      </c>
      <c r="B1567" s="3" t="s">
        <v>3989</v>
      </c>
    </row>
    <row r="1568" spans="1:2">
      <c r="A1568" s="3" t="s">
        <v>3990</v>
      </c>
      <c r="B1568" s="3" t="s">
        <v>3991</v>
      </c>
    </row>
    <row r="1569" spans="1:2">
      <c r="A1569" s="3" t="s">
        <v>3992</v>
      </c>
      <c r="B1569" s="3" t="s">
        <v>3993</v>
      </c>
    </row>
    <row r="1570" spans="1:2">
      <c r="A1570" s="3" t="s">
        <v>3994</v>
      </c>
      <c r="B1570" s="3" t="s">
        <v>3995</v>
      </c>
    </row>
    <row r="1571" spans="1:2">
      <c r="A1571" s="3" t="s">
        <v>3996</v>
      </c>
      <c r="B1571" s="3" t="s">
        <v>3997</v>
      </c>
    </row>
    <row r="1572" spans="1:2">
      <c r="A1572" s="3" t="s">
        <v>3998</v>
      </c>
      <c r="B1572" s="3" t="s">
        <v>3999</v>
      </c>
    </row>
    <row r="1573" spans="1:2">
      <c r="A1573" s="3" t="s">
        <v>4000</v>
      </c>
      <c r="B1573" s="3" t="s">
        <v>4001</v>
      </c>
    </row>
    <row r="1574" spans="1:2">
      <c r="A1574" s="3" t="s">
        <v>4002</v>
      </c>
      <c r="B1574" s="3" t="s">
        <v>4003</v>
      </c>
    </row>
    <row r="1575" spans="1:2">
      <c r="A1575" s="3" t="s">
        <v>4004</v>
      </c>
      <c r="B1575" s="3" t="s">
        <v>4005</v>
      </c>
    </row>
    <row r="1576" spans="1:2">
      <c r="A1576" s="3" t="s">
        <v>4006</v>
      </c>
      <c r="B1576" s="3" t="s">
        <v>4007</v>
      </c>
    </row>
    <row r="1577" spans="1:2">
      <c r="A1577" s="3" t="s">
        <v>4008</v>
      </c>
      <c r="B1577" s="3" t="s">
        <v>4009</v>
      </c>
    </row>
    <row r="1578" spans="1:2">
      <c r="A1578" s="3" t="s">
        <v>4010</v>
      </c>
      <c r="B1578" s="3" t="s">
        <v>4011</v>
      </c>
    </row>
    <row r="1579" spans="1:2">
      <c r="A1579" s="3" t="s">
        <v>4012</v>
      </c>
      <c r="B1579" s="3" t="s">
        <v>4013</v>
      </c>
    </row>
    <row r="1580" spans="1:2">
      <c r="A1580" s="3" t="s">
        <v>4014</v>
      </c>
      <c r="B1580" s="3" t="s">
        <v>4015</v>
      </c>
    </row>
    <row r="1581" spans="1:2">
      <c r="A1581" s="3" t="s">
        <v>4016</v>
      </c>
      <c r="B1581" s="3" t="s">
        <v>4017</v>
      </c>
    </row>
    <row r="1582" spans="1:2">
      <c r="A1582" s="3" t="s">
        <v>4018</v>
      </c>
      <c r="B1582" s="3" t="s">
        <v>4019</v>
      </c>
    </row>
    <row r="1583" spans="1:2">
      <c r="A1583" s="3" t="s">
        <v>4020</v>
      </c>
      <c r="B1583" s="3" t="s">
        <v>4021</v>
      </c>
    </row>
    <row r="1584" spans="1:2">
      <c r="A1584" s="3" t="s">
        <v>4022</v>
      </c>
      <c r="B1584" s="3" t="s">
        <v>4023</v>
      </c>
    </row>
    <row r="1585" spans="1:2">
      <c r="A1585" s="3" t="s">
        <v>4024</v>
      </c>
      <c r="B1585" s="3" t="s">
        <v>4025</v>
      </c>
    </row>
    <row r="1586" spans="1:2">
      <c r="A1586" s="3" t="s">
        <v>4026</v>
      </c>
      <c r="B1586" s="3" t="s">
        <v>4027</v>
      </c>
    </row>
    <row r="1587" spans="1:2">
      <c r="A1587" s="3" t="s">
        <v>4028</v>
      </c>
      <c r="B1587" s="3" t="s">
        <v>4029</v>
      </c>
    </row>
    <row r="1588" spans="1:2">
      <c r="A1588" s="3" t="s">
        <v>4030</v>
      </c>
      <c r="B1588" s="3" t="s">
        <v>4031</v>
      </c>
    </row>
    <row r="1589" spans="1:2">
      <c r="A1589" s="3" t="s">
        <v>4032</v>
      </c>
      <c r="B1589" s="3" t="s">
        <v>4033</v>
      </c>
    </row>
    <row r="1590" spans="1:2">
      <c r="A1590" s="3" t="s">
        <v>4034</v>
      </c>
      <c r="B1590" s="3" t="s">
        <v>4035</v>
      </c>
    </row>
    <row r="1591" spans="1:2">
      <c r="A1591" s="3" t="s">
        <v>4036</v>
      </c>
      <c r="B1591" s="3" t="s">
        <v>4037</v>
      </c>
    </row>
    <row r="1592" spans="1:2">
      <c r="A1592" s="3" t="s">
        <v>4038</v>
      </c>
      <c r="B1592" s="3" t="s">
        <v>4039</v>
      </c>
    </row>
    <row r="1593" spans="1:2">
      <c r="A1593" s="3" t="s">
        <v>4040</v>
      </c>
      <c r="B1593" s="3" t="s">
        <v>4041</v>
      </c>
    </row>
    <row r="1594" spans="1:2">
      <c r="A1594" s="3" t="s">
        <v>4042</v>
      </c>
      <c r="B1594" s="3" t="s">
        <v>4043</v>
      </c>
    </row>
    <row r="1595" spans="1:2">
      <c r="A1595" s="3" t="s">
        <v>4044</v>
      </c>
      <c r="B1595" s="3" t="s">
        <v>4045</v>
      </c>
    </row>
    <row r="1596" spans="1:2">
      <c r="A1596" s="3" t="s">
        <v>4046</v>
      </c>
      <c r="B1596" s="3" t="s">
        <v>4047</v>
      </c>
    </row>
    <row r="1597" spans="1:2">
      <c r="A1597" s="3" t="s">
        <v>4048</v>
      </c>
      <c r="B1597" s="3" t="s">
        <v>4049</v>
      </c>
    </row>
    <row r="1598" spans="1:2">
      <c r="A1598" s="3" t="s">
        <v>4050</v>
      </c>
      <c r="B1598" s="3" t="s">
        <v>4051</v>
      </c>
    </row>
    <row r="1599" spans="1:2">
      <c r="A1599" s="3" t="s">
        <v>4052</v>
      </c>
      <c r="B1599" s="3" t="s">
        <v>4053</v>
      </c>
    </row>
    <row r="1600" spans="1:2">
      <c r="A1600" s="3" t="s">
        <v>4054</v>
      </c>
      <c r="B1600" s="3" t="s">
        <v>4055</v>
      </c>
    </row>
    <row r="1601" spans="1:2">
      <c r="A1601" s="3" t="s">
        <v>4056</v>
      </c>
      <c r="B1601" s="3" t="s">
        <v>4057</v>
      </c>
    </row>
    <row r="1602" spans="1:2">
      <c r="A1602" s="3" t="s">
        <v>4058</v>
      </c>
      <c r="B1602" s="3" t="s">
        <v>4059</v>
      </c>
    </row>
    <row r="1603" spans="1:2">
      <c r="A1603" s="3" t="s">
        <v>4060</v>
      </c>
      <c r="B1603" s="3" t="s">
        <v>4061</v>
      </c>
    </row>
    <row r="1604" spans="1:2">
      <c r="A1604" s="3" t="s">
        <v>4062</v>
      </c>
      <c r="B1604" s="3" t="s">
        <v>4063</v>
      </c>
    </row>
    <row r="1605" spans="1:2">
      <c r="A1605" s="3" t="s">
        <v>4064</v>
      </c>
      <c r="B1605" s="3" t="s">
        <v>4065</v>
      </c>
    </row>
    <row r="1606" spans="1:2">
      <c r="A1606" s="3" t="s">
        <v>4066</v>
      </c>
      <c r="B1606" s="3" t="s">
        <v>4067</v>
      </c>
    </row>
    <row r="1607" spans="1:2">
      <c r="A1607" s="3" t="s">
        <v>4068</v>
      </c>
      <c r="B1607" s="3" t="s">
        <v>4069</v>
      </c>
    </row>
    <row r="1608" spans="1:2">
      <c r="A1608" s="3" t="s">
        <v>4070</v>
      </c>
      <c r="B1608" s="3" t="s">
        <v>4071</v>
      </c>
    </row>
    <row r="1609" spans="1:2">
      <c r="A1609" s="3" t="s">
        <v>4072</v>
      </c>
      <c r="B1609" s="3" t="s">
        <v>4073</v>
      </c>
    </row>
    <row r="1610" spans="1:2">
      <c r="A1610" s="3" t="s">
        <v>4074</v>
      </c>
      <c r="B1610" s="3" t="s">
        <v>4075</v>
      </c>
    </row>
    <row r="1611" spans="1:2">
      <c r="A1611" s="3" t="s">
        <v>4076</v>
      </c>
      <c r="B1611" s="3" t="s">
        <v>4077</v>
      </c>
    </row>
    <row r="1612" spans="1:2">
      <c r="A1612" s="3" t="s">
        <v>4078</v>
      </c>
      <c r="B1612" s="3" t="s">
        <v>4079</v>
      </c>
    </row>
    <row r="1613" spans="1:2">
      <c r="A1613" s="3" t="s">
        <v>4080</v>
      </c>
      <c r="B1613" s="3" t="s">
        <v>4081</v>
      </c>
    </row>
    <row r="1614" spans="1:2">
      <c r="A1614" s="3" t="s">
        <v>4082</v>
      </c>
      <c r="B1614" s="3" t="s">
        <v>4083</v>
      </c>
    </row>
    <row r="1615" spans="1:2">
      <c r="A1615" s="3" t="s">
        <v>4084</v>
      </c>
      <c r="B1615" s="3" t="s">
        <v>4085</v>
      </c>
    </row>
    <row r="1616" spans="1:2">
      <c r="A1616" s="3" t="s">
        <v>4086</v>
      </c>
      <c r="B1616" s="3" t="s">
        <v>4087</v>
      </c>
    </row>
    <row r="1617" spans="1:2">
      <c r="A1617" s="3" t="s">
        <v>4088</v>
      </c>
      <c r="B1617" s="3" t="s">
        <v>4089</v>
      </c>
    </row>
    <row r="1618" spans="1:2">
      <c r="A1618" s="3" t="s">
        <v>4090</v>
      </c>
      <c r="B1618" s="3" t="s">
        <v>4091</v>
      </c>
    </row>
    <row r="1619" spans="1:2">
      <c r="A1619" s="3" t="s">
        <v>4092</v>
      </c>
      <c r="B1619" s="3" t="s">
        <v>4093</v>
      </c>
    </row>
    <row r="1620" spans="1:2">
      <c r="A1620" s="3" t="s">
        <v>4094</v>
      </c>
      <c r="B1620" s="3" t="s">
        <v>4095</v>
      </c>
    </row>
    <row r="1621" spans="1:2">
      <c r="A1621" s="3" t="s">
        <v>4096</v>
      </c>
      <c r="B1621" s="3" t="s">
        <v>4097</v>
      </c>
    </row>
    <row r="1622" spans="1:2">
      <c r="A1622" s="3" t="s">
        <v>4098</v>
      </c>
      <c r="B1622" s="3" t="s">
        <v>4099</v>
      </c>
    </row>
    <row r="1623" spans="1:2">
      <c r="A1623" s="3" t="s">
        <v>4100</v>
      </c>
      <c r="B1623" s="3" t="s">
        <v>4101</v>
      </c>
    </row>
    <row r="1624" spans="1:2">
      <c r="A1624" s="3" t="s">
        <v>4102</v>
      </c>
      <c r="B1624" s="3" t="s">
        <v>4103</v>
      </c>
    </row>
    <row r="1625" spans="1:2">
      <c r="A1625" s="3" t="s">
        <v>4104</v>
      </c>
      <c r="B1625" s="3" t="s">
        <v>4105</v>
      </c>
    </row>
    <row r="1626" spans="1:2">
      <c r="A1626" s="3" t="s">
        <v>4106</v>
      </c>
      <c r="B1626" s="3" t="s">
        <v>4107</v>
      </c>
    </row>
    <row r="1627" spans="1:2">
      <c r="A1627" s="3" t="s">
        <v>4108</v>
      </c>
      <c r="B1627" s="3" t="s">
        <v>4109</v>
      </c>
    </row>
    <row r="1628" spans="1:2">
      <c r="A1628" s="3" t="s">
        <v>4110</v>
      </c>
      <c r="B1628" s="3" t="s">
        <v>4111</v>
      </c>
    </row>
    <row r="1629" spans="1:2">
      <c r="A1629" s="3" t="s">
        <v>4112</v>
      </c>
      <c r="B1629" s="3" t="s">
        <v>4113</v>
      </c>
    </row>
    <row r="1630" spans="1:2">
      <c r="A1630" s="3" t="s">
        <v>4114</v>
      </c>
      <c r="B1630" s="3" t="s">
        <v>4115</v>
      </c>
    </row>
    <row r="1631" spans="1:2">
      <c r="A1631" s="3" t="s">
        <v>4116</v>
      </c>
      <c r="B1631" s="3" t="s">
        <v>4117</v>
      </c>
    </row>
    <row r="1632" spans="1:2">
      <c r="A1632" s="3" t="s">
        <v>4118</v>
      </c>
      <c r="B1632" s="3" t="s">
        <v>4119</v>
      </c>
    </row>
    <row r="1633" spans="1:2">
      <c r="A1633" s="3" t="s">
        <v>4120</v>
      </c>
      <c r="B1633" s="3" t="s">
        <v>3618</v>
      </c>
    </row>
    <row r="1634" spans="1:2">
      <c r="A1634" s="3" t="s">
        <v>4121</v>
      </c>
      <c r="B1634" s="3" t="s">
        <v>3620</v>
      </c>
    </row>
    <row r="1635" spans="1:2">
      <c r="A1635" s="3" t="s">
        <v>4122</v>
      </c>
      <c r="B1635" s="3" t="s">
        <v>4123</v>
      </c>
    </row>
    <row r="1636" spans="1:2">
      <c r="A1636" s="3" t="s">
        <v>4124</v>
      </c>
      <c r="B1636" s="3" t="s">
        <v>4125</v>
      </c>
    </row>
    <row r="1637" spans="1:2">
      <c r="A1637" s="3" t="s">
        <v>4126</v>
      </c>
      <c r="B1637" s="3" t="s">
        <v>4127</v>
      </c>
    </row>
    <row r="1638" spans="1:2">
      <c r="A1638" s="3" t="s">
        <v>4128</v>
      </c>
      <c r="B1638" s="3" t="s">
        <v>4129</v>
      </c>
    </row>
    <row r="1639" spans="1:2">
      <c r="A1639" s="3" t="s">
        <v>4130</v>
      </c>
      <c r="B1639" s="3" t="s">
        <v>4131</v>
      </c>
    </row>
    <row r="1640" spans="1:2">
      <c r="A1640" s="3" t="s">
        <v>4132</v>
      </c>
      <c r="B1640" s="3" t="s">
        <v>4133</v>
      </c>
    </row>
    <row r="1641" spans="1:2">
      <c r="A1641" s="3" t="s">
        <v>4134</v>
      </c>
      <c r="B1641" s="3" t="s">
        <v>4135</v>
      </c>
    </row>
    <row r="1642" spans="1:2">
      <c r="A1642" s="3" t="s">
        <v>4136</v>
      </c>
      <c r="B1642" s="3" t="s">
        <v>4137</v>
      </c>
    </row>
    <row r="1643" spans="1:2">
      <c r="A1643" s="3" t="s">
        <v>4138</v>
      </c>
      <c r="B1643" s="3" t="s">
        <v>4139</v>
      </c>
    </row>
    <row r="1644" spans="1:2">
      <c r="A1644" s="3" t="s">
        <v>4140</v>
      </c>
      <c r="B1644" s="3" t="s">
        <v>4141</v>
      </c>
    </row>
    <row r="1645" spans="1:2">
      <c r="A1645" s="3" t="s">
        <v>4142</v>
      </c>
      <c r="B1645" s="3" t="s">
        <v>4143</v>
      </c>
    </row>
    <row r="1646" spans="1:2">
      <c r="A1646" s="3" t="s">
        <v>4144</v>
      </c>
      <c r="B1646" s="3" t="s">
        <v>4145</v>
      </c>
    </row>
    <row r="1647" spans="1:2">
      <c r="A1647" s="3" t="s">
        <v>4146</v>
      </c>
      <c r="B1647" s="3" t="s">
        <v>4147</v>
      </c>
    </row>
    <row r="1648" spans="1:2">
      <c r="A1648" s="3" t="s">
        <v>4148</v>
      </c>
      <c r="B1648" s="3" t="s">
        <v>4149</v>
      </c>
    </row>
    <row r="1649" spans="1:2">
      <c r="A1649" s="3" t="s">
        <v>4150</v>
      </c>
      <c r="B1649" s="3" t="s">
        <v>4151</v>
      </c>
    </row>
    <row r="1650" spans="1:2">
      <c r="A1650" s="3" t="s">
        <v>4152</v>
      </c>
      <c r="B1650" s="3" t="s">
        <v>4153</v>
      </c>
    </row>
    <row r="1651" spans="1:2">
      <c r="A1651" s="3" t="s">
        <v>4154</v>
      </c>
      <c r="B1651" s="3" t="s">
        <v>4155</v>
      </c>
    </row>
    <row r="1652" spans="1:2">
      <c r="A1652" s="3" t="s">
        <v>4156</v>
      </c>
      <c r="B1652" s="3" t="s">
        <v>4157</v>
      </c>
    </row>
    <row r="1653" spans="1:2">
      <c r="A1653" s="3" t="s">
        <v>4158</v>
      </c>
      <c r="B1653" s="3" t="s">
        <v>4159</v>
      </c>
    </row>
    <row r="1654" spans="1:2">
      <c r="A1654" s="3" t="s">
        <v>4160</v>
      </c>
      <c r="B1654" s="3" t="s">
        <v>4161</v>
      </c>
    </row>
    <row r="1655" spans="1:2">
      <c r="A1655" s="3" t="s">
        <v>4162</v>
      </c>
      <c r="B1655" s="3" t="s">
        <v>4163</v>
      </c>
    </row>
    <row r="1656" spans="1:2">
      <c r="A1656" s="3" t="s">
        <v>4164</v>
      </c>
      <c r="B1656" s="3" t="s">
        <v>4165</v>
      </c>
    </row>
    <row r="1657" spans="1:2">
      <c r="A1657" s="3" t="s">
        <v>4166</v>
      </c>
      <c r="B1657" s="3" t="s">
        <v>4167</v>
      </c>
    </row>
    <row r="1658" spans="1:2">
      <c r="A1658" s="3" t="s">
        <v>4168</v>
      </c>
      <c r="B1658" s="3" t="s">
        <v>4169</v>
      </c>
    </row>
    <row r="1659" spans="1:2">
      <c r="A1659" s="3" t="s">
        <v>4170</v>
      </c>
      <c r="B1659" s="3" t="s">
        <v>4171</v>
      </c>
    </row>
    <row r="1660" spans="1:2">
      <c r="A1660" s="3" t="s">
        <v>4172</v>
      </c>
      <c r="B1660" s="3" t="s">
        <v>4173</v>
      </c>
    </row>
    <row r="1661" spans="1:2">
      <c r="A1661" s="3" t="s">
        <v>4174</v>
      </c>
      <c r="B1661" s="3" t="s">
        <v>4175</v>
      </c>
    </row>
    <row r="1662" spans="1:2">
      <c r="A1662" s="3" t="s">
        <v>4176</v>
      </c>
      <c r="B1662" s="3" t="s">
        <v>4167</v>
      </c>
    </row>
    <row r="1663" spans="1:2">
      <c r="A1663" s="3" t="s">
        <v>4177</v>
      </c>
      <c r="B1663" s="3" t="s">
        <v>4178</v>
      </c>
    </row>
    <row r="1664" spans="1:2">
      <c r="A1664" s="3" t="s">
        <v>4179</v>
      </c>
      <c r="B1664" s="3" t="s">
        <v>4180</v>
      </c>
    </row>
    <row r="1665" spans="1:2">
      <c r="A1665" s="3" t="s">
        <v>4181</v>
      </c>
      <c r="B1665" s="3" t="s">
        <v>4182</v>
      </c>
    </row>
    <row r="1666" spans="1:2">
      <c r="A1666" s="3" t="s">
        <v>4183</v>
      </c>
      <c r="B1666" s="3" t="s">
        <v>4184</v>
      </c>
    </row>
    <row r="1667" spans="1:2">
      <c r="A1667" s="3" t="s">
        <v>4185</v>
      </c>
      <c r="B1667" s="3" t="s">
        <v>4186</v>
      </c>
    </row>
    <row r="1668" spans="1:2">
      <c r="A1668" s="3" t="s">
        <v>4187</v>
      </c>
      <c r="B1668" s="3" t="s">
        <v>4188</v>
      </c>
    </row>
    <row r="1669" spans="1:2">
      <c r="A1669" s="3" t="s">
        <v>4189</v>
      </c>
      <c r="B1669" s="3" t="s">
        <v>4190</v>
      </c>
    </row>
    <row r="1670" spans="1:2">
      <c r="A1670" s="3" t="s">
        <v>4191</v>
      </c>
      <c r="B1670" s="3" t="s">
        <v>4192</v>
      </c>
    </row>
    <row r="1671" spans="1:2">
      <c r="A1671" s="3" t="s">
        <v>4193</v>
      </c>
      <c r="B1671" s="3" t="s">
        <v>4194</v>
      </c>
    </row>
    <row r="1672" spans="1:2">
      <c r="A1672" s="3" t="s">
        <v>4195</v>
      </c>
      <c r="B1672" s="3" t="s">
        <v>4196</v>
      </c>
    </row>
    <row r="1673" spans="1:2">
      <c r="A1673" s="3" t="s">
        <v>4197</v>
      </c>
      <c r="B1673" s="3" t="s">
        <v>4198</v>
      </c>
    </row>
    <row r="1674" spans="1:2">
      <c r="A1674" s="3" t="s">
        <v>4199</v>
      </c>
      <c r="B1674" s="3" t="s">
        <v>4200</v>
      </c>
    </row>
    <row r="1675" spans="1:2">
      <c r="A1675" s="3" t="s">
        <v>4201</v>
      </c>
      <c r="B1675" s="3" t="s">
        <v>4202</v>
      </c>
    </row>
    <row r="1676" spans="1:2">
      <c r="A1676" s="3" t="s">
        <v>4203</v>
      </c>
      <c r="B1676" s="3" t="s">
        <v>4204</v>
      </c>
    </row>
    <row r="1677" spans="1:2">
      <c r="A1677" s="3" t="s">
        <v>4205</v>
      </c>
      <c r="B1677" s="3" t="s">
        <v>4206</v>
      </c>
    </row>
    <row r="1678" spans="1:2">
      <c r="A1678" s="3" t="s">
        <v>4207</v>
      </c>
      <c r="B1678" s="3" t="s">
        <v>4208</v>
      </c>
    </row>
    <row r="1679" spans="1:2">
      <c r="A1679" s="3" t="s">
        <v>4209</v>
      </c>
      <c r="B1679" s="3" t="s">
        <v>4210</v>
      </c>
    </row>
    <row r="1680" spans="1:2">
      <c r="A1680" s="3" t="s">
        <v>4211</v>
      </c>
      <c r="B1680" s="3" t="s">
        <v>4212</v>
      </c>
    </row>
    <row r="1681" spans="1:2">
      <c r="A1681" s="3" t="s">
        <v>4213</v>
      </c>
      <c r="B1681" s="3" t="s">
        <v>4214</v>
      </c>
    </row>
    <row r="1682" spans="1:2">
      <c r="A1682" s="3" t="s">
        <v>4215</v>
      </c>
      <c r="B1682" s="3" t="s">
        <v>4216</v>
      </c>
    </row>
    <row r="1683" spans="1:2">
      <c r="A1683" s="3" t="s">
        <v>4217</v>
      </c>
      <c r="B1683" s="3" t="s">
        <v>4218</v>
      </c>
    </row>
    <row r="1684" spans="1:2">
      <c r="A1684" s="3" t="s">
        <v>4219</v>
      </c>
      <c r="B1684" s="3" t="s">
        <v>4220</v>
      </c>
    </row>
    <row r="1685" spans="1:2">
      <c r="A1685" s="3" t="s">
        <v>4221</v>
      </c>
      <c r="B1685" s="3" t="s">
        <v>4222</v>
      </c>
    </row>
    <row r="1686" spans="1:2">
      <c r="A1686" s="3" t="s">
        <v>4223</v>
      </c>
      <c r="B1686" s="3" t="s">
        <v>4224</v>
      </c>
    </row>
    <row r="1687" spans="1:2">
      <c r="A1687" s="3" t="s">
        <v>4225</v>
      </c>
      <c r="B1687" s="3" t="s">
        <v>4226</v>
      </c>
    </row>
    <row r="1688" spans="1:2">
      <c r="A1688" s="3" t="s">
        <v>4227</v>
      </c>
      <c r="B1688" s="3" t="s">
        <v>4228</v>
      </c>
    </row>
    <row r="1689" spans="1:2">
      <c r="A1689" s="3" t="s">
        <v>4229</v>
      </c>
      <c r="B1689" s="3" t="s">
        <v>4230</v>
      </c>
    </row>
    <row r="1690" spans="1:2">
      <c r="A1690" s="3" t="s">
        <v>4231</v>
      </c>
      <c r="B1690" s="3" t="s">
        <v>4232</v>
      </c>
    </row>
    <row r="1691" spans="1:2">
      <c r="A1691" s="3" t="s">
        <v>4233</v>
      </c>
      <c r="B1691" s="3" t="s">
        <v>3031</v>
      </c>
    </row>
    <row r="1692" spans="1:2">
      <c r="A1692" s="3" t="s">
        <v>4234</v>
      </c>
      <c r="B1692" s="3" t="s">
        <v>4235</v>
      </c>
    </row>
    <row r="1693" spans="1:2">
      <c r="A1693" s="3" t="s">
        <v>4236</v>
      </c>
      <c r="B1693" s="3" t="s">
        <v>4237</v>
      </c>
    </row>
    <row r="1694" spans="1:2">
      <c r="A1694" s="3" t="s">
        <v>4238</v>
      </c>
      <c r="B1694" s="3" t="s">
        <v>4239</v>
      </c>
    </row>
    <row r="1695" spans="1:2">
      <c r="A1695" s="3" t="s">
        <v>4240</v>
      </c>
      <c r="B1695" s="3" t="s">
        <v>4241</v>
      </c>
    </row>
    <row r="1696" spans="1:2">
      <c r="A1696" s="3" t="s">
        <v>4242</v>
      </c>
      <c r="B1696" s="3" t="s">
        <v>4243</v>
      </c>
    </row>
    <row r="1697" spans="1:2">
      <c r="A1697" s="3" t="s">
        <v>4244</v>
      </c>
      <c r="B1697" s="3" t="s">
        <v>4245</v>
      </c>
    </row>
    <row r="1698" spans="1:2">
      <c r="A1698" s="3" t="s">
        <v>4246</v>
      </c>
      <c r="B1698" s="3" t="s">
        <v>4247</v>
      </c>
    </row>
    <row r="1699" spans="1:2">
      <c r="A1699" s="3" t="s">
        <v>4248</v>
      </c>
      <c r="B1699" s="3" t="s">
        <v>4249</v>
      </c>
    </row>
    <row r="1700" spans="1:2">
      <c r="A1700" s="3" t="s">
        <v>4250</v>
      </c>
      <c r="B1700" s="3" t="s">
        <v>4251</v>
      </c>
    </row>
    <row r="1701" spans="1:2">
      <c r="A1701" s="3" t="s">
        <v>4252</v>
      </c>
      <c r="B1701" s="3" t="s">
        <v>4253</v>
      </c>
    </row>
    <row r="1702" spans="1:2">
      <c r="A1702" s="3" t="s">
        <v>4254</v>
      </c>
      <c r="B1702" s="3" t="s">
        <v>4255</v>
      </c>
    </row>
    <row r="1703" spans="1:2">
      <c r="A1703" s="3" t="s">
        <v>4256</v>
      </c>
      <c r="B1703" s="3" t="s">
        <v>4257</v>
      </c>
    </row>
    <row r="1704" spans="1:2">
      <c r="A1704" s="3" t="s">
        <v>4258</v>
      </c>
      <c r="B1704" s="3" t="s">
        <v>4259</v>
      </c>
    </row>
    <row r="1705" spans="1:2">
      <c r="A1705" s="3" t="s">
        <v>4260</v>
      </c>
      <c r="B1705" s="3" t="s">
        <v>4261</v>
      </c>
    </row>
    <row r="1706" spans="1:2">
      <c r="A1706" s="3" t="s">
        <v>4262</v>
      </c>
      <c r="B1706" s="3" t="s">
        <v>4263</v>
      </c>
    </row>
    <row r="1707" spans="1:2">
      <c r="A1707" s="3" t="s">
        <v>4264</v>
      </c>
      <c r="B1707" s="3" t="s">
        <v>4265</v>
      </c>
    </row>
    <row r="1708" spans="1:2">
      <c r="A1708" s="3" t="s">
        <v>4266</v>
      </c>
      <c r="B1708" s="3" t="s">
        <v>4267</v>
      </c>
    </row>
    <row r="1709" spans="1:2">
      <c r="A1709" s="3" t="s">
        <v>4268</v>
      </c>
      <c r="B1709" s="3" t="s">
        <v>4269</v>
      </c>
    </row>
    <row r="1710" spans="1:2">
      <c r="A1710" s="3" t="s">
        <v>4270</v>
      </c>
      <c r="B1710" s="3" t="s">
        <v>4271</v>
      </c>
    </row>
    <row r="1711" spans="1:2">
      <c r="A1711" s="3" t="s">
        <v>4272</v>
      </c>
      <c r="B1711" s="3" t="s">
        <v>4273</v>
      </c>
    </row>
    <row r="1712" spans="1:2">
      <c r="A1712" s="3" t="s">
        <v>4274</v>
      </c>
      <c r="B1712" s="3" t="s">
        <v>4275</v>
      </c>
    </row>
    <row r="1713" spans="1:2">
      <c r="A1713" s="3" t="s">
        <v>4276</v>
      </c>
      <c r="B1713" s="3" t="s">
        <v>4277</v>
      </c>
    </row>
    <row r="1714" spans="1:2">
      <c r="A1714" s="3" t="s">
        <v>4278</v>
      </c>
      <c r="B1714" s="3" t="s">
        <v>4279</v>
      </c>
    </row>
    <row r="1715" spans="1:2">
      <c r="A1715" s="3" t="s">
        <v>4280</v>
      </c>
      <c r="B1715" s="3" t="s">
        <v>4281</v>
      </c>
    </row>
    <row r="1716" spans="1:2">
      <c r="A1716" s="3" t="s">
        <v>4282</v>
      </c>
      <c r="B1716" s="3" t="s">
        <v>4283</v>
      </c>
    </row>
    <row r="1717" spans="1:2">
      <c r="A1717" s="3" t="s">
        <v>4284</v>
      </c>
      <c r="B1717" s="3" t="s">
        <v>4285</v>
      </c>
    </row>
    <row r="1718" spans="1:2">
      <c r="A1718" s="3" t="s">
        <v>4286</v>
      </c>
      <c r="B1718" s="3" t="s">
        <v>4287</v>
      </c>
    </row>
    <row r="1719" spans="1:2">
      <c r="A1719" s="3" t="s">
        <v>4288</v>
      </c>
      <c r="B1719" s="3" t="s">
        <v>4289</v>
      </c>
    </row>
    <row r="1720" spans="1:2">
      <c r="A1720" s="3" t="s">
        <v>4290</v>
      </c>
      <c r="B1720" s="3" t="s">
        <v>4291</v>
      </c>
    </row>
    <row r="1721" spans="1:2">
      <c r="A1721" s="3" t="s">
        <v>4292</v>
      </c>
      <c r="B1721" s="3" t="s">
        <v>4293</v>
      </c>
    </row>
    <row r="1722" spans="1:2">
      <c r="A1722" s="3" t="s">
        <v>4294</v>
      </c>
      <c r="B1722" s="3" t="s">
        <v>4295</v>
      </c>
    </row>
    <row r="1723" spans="1:2">
      <c r="A1723" s="3" t="s">
        <v>4296</v>
      </c>
      <c r="B1723" s="3" t="s">
        <v>4297</v>
      </c>
    </row>
    <row r="1724" spans="1:2">
      <c r="A1724" s="3" t="s">
        <v>4298</v>
      </c>
      <c r="B1724" s="3" t="s">
        <v>4299</v>
      </c>
    </row>
    <row r="1725" spans="1:2">
      <c r="A1725" s="3" t="s">
        <v>4300</v>
      </c>
      <c r="B1725" s="3" t="s">
        <v>4301</v>
      </c>
    </row>
    <row r="1726" spans="1:2">
      <c r="A1726" s="3" t="s">
        <v>4302</v>
      </c>
      <c r="B1726" s="3" t="s">
        <v>4303</v>
      </c>
    </row>
    <row r="1727" spans="1:2">
      <c r="A1727" s="3" t="s">
        <v>4304</v>
      </c>
      <c r="B1727" s="3" t="s">
        <v>4305</v>
      </c>
    </row>
    <row r="1728" spans="1:2">
      <c r="A1728" s="3" t="s">
        <v>4306</v>
      </c>
      <c r="B1728" s="3" t="s">
        <v>4307</v>
      </c>
    </row>
    <row r="1729" spans="1:2">
      <c r="A1729" s="3" t="s">
        <v>4308</v>
      </c>
      <c r="B1729" s="3" t="s">
        <v>4309</v>
      </c>
    </row>
    <row r="1730" spans="1:2">
      <c r="A1730" s="3" t="s">
        <v>4310</v>
      </c>
      <c r="B1730" s="3" t="s">
        <v>4311</v>
      </c>
    </row>
    <row r="1731" spans="1:2">
      <c r="A1731" s="3" t="s">
        <v>4312</v>
      </c>
      <c r="B1731" s="3" t="s">
        <v>4313</v>
      </c>
    </row>
    <row r="1732" spans="1:2">
      <c r="A1732" s="3" t="s">
        <v>4314</v>
      </c>
      <c r="B1732" s="3" t="s">
        <v>4315</v>
      </c>
    </row>
    <row r="1733" spans="1:2">
      <c r="A1733" s="3" t="s">
        <v>4316</v>
      </c>
      <c r="B1733" s="3" t="s">
        <v>4317</v>
      </c>
    </row>
    <row r="1734" spans="1:2">
      <c r="A1734" s="3" t="s">
        <v>4318</v>
      </c>
      <c r="B1734" s="3" t="s">
        <v>4319</v>
      </c>
    </row>
    <row r="1735" spans="1:2">
      <c r="A1735" s="3" t="s">
        <v>4320</v>
      </c>
      <c r="B1735" s="3" t="s">
        <v>4321</v>
      </c>
    </row>
    <row r="1736" spans="1:2">
      <c r="A1736" s="3" t="s">
        <v>4322</v>
      </c>
      <c r="B1736" s="3" t="s">
        <v>4323</v>
      </c>
    </row>
    <row r="1737" spans="1:2">
      <c r="A1737" s="3" t="s">
        <v>4324</v>
      </c>
      <c r="B1737" s="3" t="s">
        <v>4325</v>
      </c>
    </row>
    <row r="1738" spans="1:2">
      <c r="A1738" s="3" t="s">
        <v>4326</v>
      </c>
      <c r="B1738" s="3" t="s">
        <v>4327</v>
      </c>
    </row>
    <row r="1739" spans="1:2">
      <c r="A1739" s="3" t="s">
        <v>4328</v>
      </c>
      <c r="B1739" s="3" t="s">
        <v>4329</v>
      </c>
    </row>
    <row r="1740" spans="1:2">
      <c r="A1740" s="3" t="s">
        <v>4330</v>
      </c>
      <c r="B1740" s="3" t="s">
        <v>4331</v>
      </c>
    </row>
    <row r="1741" spans="1:2">
      <c r="A1741" s="3" t="s">
        <v>4332</v>
      </c>
      <c r="B1741" s="3" t="s">
        <v>4333</v>
      </c>
    </row>
    <row r="1742" spans="1:2">
      <c r="A1742" s="3" t="s">
        <v>4334</v>
      </c>
      <c r="B1742" s="3" t="s">
        <v>4335</v>
      </c>
    </row>
    <row r="1743" spans="1:2">
      <c r="A1743" s="3" t="s">
        <v>4336</v>
      </c>
      <c r="B1743" s="3" t="s">
        <v>4337</v>
      </c>
    </row>
    <row r="1744" spans="1:2">
      <c r="A1744" s="3" t="s">
        <v>4338</v>
      </c>
      <c r="B1744" s="3" t="s">
        <v>4339</v>
      </c>
    </row>
    <row r="1745" spans="1:2">
      <c r="A1745" s="3" t="s">
        <v>4340</v>
      </c>
      <c r="B1745" s="3" t="s">
        <v>4341</v>
      </c>
    </row>
    <row r="1746" spans="1:2">
      <c r="A1746" s="3" t="s">
        <v>4342</v>
      </c>
      <c r="B1746" s="3" t="s">
        <v>4343</v>
      </c>
    </row>
    <row r="1747" spans="1:2">
      <c r="A1747" s="3" t="s">
        <v>4344</v>
      </c>
      <c r="B1747" s="3" t="s">
        <v>4345</v>
      </c>
    </row>
    <row r="1748" spans="1:2">
      <c r="A1748" s="3" t="s">
        <v>4346</v>
      </c>
      <c r="B1748" s="3" t="s">
        <v>4347</v>
      </c>
    </row>
    <row r="1749" spans="1:2">
      <c r="A1749" s="3" t="s">
        <v>4348</v>
      </c>
      <c r="B1749" s="3" t="s">
        <v>4349</v>
      </c>
    </row>
    <row r="1750" spans="1:2">
      <c r="A1750" s="3" t="s">
        <v>4350</v>
      </c>
      <c r="B1750" s="3" t="s">
        <v>4351</v>
      </c>
    </row>
    <row r="1751" spans="1:2">
      <c r="A1751" s="3" t="s">
        <v>264</v>
      </c>
      <c r="B1751" s="3" t="s">
        <v>4352</v>
      </c>
    </row>
    <row r="1752" spans="1:2">
      <c r="A1752" s="3" t="s">
        <v>4353</v>
      </c>
      <c r="B1752" s="3" t="s">
        <v>4354</v>
      </c>
    </row>
    <row r="1753" spans="1:2">
      <c r="A1753" s="3" t="s">
        <v>4355</v>
      </c>
      <c r="B1753" s="3" t="s">
        <v>4356</v>
      </c>
    </row>
    <row r="1754" spans="1:2">
      <c r="A1754" s="3" t="s">
        <v>4357</v>
      </c>
      <c r="B1754" s="3" t="s">
        <v>4358</v>
      </c>
    </row>
    <row r="1755" spans="1:2">
      <c r="A1755" s="3" t="s">
        <v>4359</v>
      </c>
      <c r="B1755" s="3" t="s">
        <v>4360</v>
      </c>
    </row>
    <row r="1756" spans="1:2">
      <c r="A1756" s="3" t="s">
        <v>4361</v>
      </c>
      <c r="B1756" s="3" t="s">
        <v>4362</v>
      </c>
    </row>
    <row r="1757" spans="1:2">
      <c r="A1757" s="3" t="s">
        <v>4363</v>
      </c>
      <c r="B1757" s="3" t="s">
        <v>4364</v>
      </c>
    </row>
    <row r="1758" spans="1:2">
      <c r="A1758" s="3" t="s">
        <v>4365</v>
      </c>
      <c r="B1758" s="3" t="s">
        <v>4366</v>
      </c>
    </row>
    <row r="1759" spans="1:2">
      <c r="A1759" s="3" t="s">
        <v>4367</v>
      </c>
      <c r="B1759" s="3" t="s">
        <v>4368</v>
      </c>
    </row>
    <row r="1760" spans="1:2">
      <c r="A1760" s="3" t="s">
        <v>4369</v>
      </c>
      <c r="B1760" s="3" t="s">
        <v>4370</v>
      </c>
    </row>
    <row r="1761" spans="1:2">
      <c r="A1761" s="3" t="s">
        <v>4371</v>
      </c>
      <c r="B1761" s="3" t="s">
        <v>4372</v>
      </c>
    </row>
    <row r="1762" spans="1:2">
      <c r="A1762" s="3" t="s">
        <v>4373</v>
      </c>
      <c r="B1762" s="3" t="s">
        <v>4374</v>
      </c>
    </row>
    <row r="1763" spans="1:2">
      <c r="A1763" s="3" t="s">
        <v>4375</v>
      </c>
      <c r="B1763" s="3" t="s">
        <v>4376</v>
      </c>
    </row>
    <row r="1764" spans="1:2">
      <c r="A1764" s="3" t="s">
        <v>4377</v>
      </c>
      <c r="B1764" s="3" t="s">
        <v>4378</v>
      </c>
    </row>
    <row r="1765" spans="1:2">
      <c r="A1765" s="3" t="s">
        <v>4379</v>
      </c>
      <c r="B1765" s="3" t="s">
        <v>4380</v>
      </c>
    </row>
    <row r="1766" spans="1:2">
      <c r="A1766" s="3" t="s">
        <v>4381</v>
      </c>
      <c r="B1766" s="3" t="s">
        <v>4382</v>
      </c>
    </row>
    <row r="1767" spans="1:2">
      <c r="A1767" s="3" t="s">
        <v>4383</v>
      </c>
      <c r="B1767" s="3" t="s">
        <v>4384</v>
      </c>
    </row>
    <row r="1768" spans="1:2">
      <c r="A1768" s="3" t="s">
        <v>4385</v>
      </c>
      <c r="B1768" s="3" t="s">
        <v>4386</v>
      </c>
    </row>
    <row r="1769" spans="1:2">
      <c r="A1769" s="3" t="s">
        <v>4387</v>
      </c>
      <c r="B1769" s="3" t="s">
        <v>4388</v>
      </c>
    </row>
    <row r="1770" spans="1:2">
      <c r="A1770" s="3" t="s">
        <v>4389</v>
      </c>
      <c r="B1770" s="3" t="s">
        <v>4390</v>
      </c>
    </row>
    <row r="1771" spans="1:2">
      <c r="A1771" s="3" t="s">
        <v>4391</v>
      </c>
      <c r="B1771" s="3" t="s">
        <v>4392</v>
      </c>
    </row>
    <row r="1772" spans="1:2">
      <c r="A1772" s="3" t="s">
        <v>4393</v>
      </c>
      <c r="B1772" s="3" t="s">
        <v>909</v>
      </c>
    </row>
    <row r="1773" spans="1:2">
      <c r="A1773" s="3" t="s">
        <v>4394</v>
      </c>
      <c r="B1773" s="3" t="s">
        <v>4395</v>
      </c>
    </row>
    <row r="1774" spans="1:2">
      <c r="A1774" s="3" t="s">
        <v>4396</v>
      </c>
      <c r="B1774" s="3" t="s">
        <v>4397</v>
      </c>
    </row>
    <row r="1775" spans="1:2">
      <c r="A1775" s="3" t="s">
        <v>4398</v>
      </c>
      <c r="B1775" s="3" t="s">
        <v>4399</v>
      </c>
    </row>
    <row r="1776" spans="1:2">
      <c r="A1776" s="3" t="s">
        <v>4400</v>
      </c>
      <c r="B1776" s="3" t="s">
        <v>4401</v>
      </c>
    </row>
    <row r="1777" spans="1:2">
      <c r="A1777" s="3" t="s">
        <v>4402</v>
      </c>
      <c r="B1777" s="3" t="s">
        <v>4403</v>
      </c>
    </row>
    <row r="1778" spans="1:2">
      <c r="A1778" s="3" t="s">
        <v>4404</v>
      </c>
      <c r="B1778" s="3" t="s">
        <v>4405</v>
      </c>
    </row>
    <row r="1779" spans="1:2">
      <c r="A1779" s="3" t="s">
        <v>4406</v>
      </c>
      <c r="B1779" s="3" t="s">
        <v>4407</v>
      </c>
    </row>
    <row r="1780" spans="1:2">
      <c r="A1780" s="3" t="s">
        <v>4408</v>
      </c>
      <c r="B1780" s="3" t="s">
        <v>4409</v>
      </c>
    </row>
    <row r="1781" spans="1:2">
      <c r="A1781" s="3" t="s">
        <v>4410</v>
      </c>
      <c r="B1781" s="3" t="s">
        <v>4411</v>
      </c>
    </row>
    <row r="1782" spans="1:2">
      <c r="A1782" s="3" t="s">
        <v>4412</v>
      </c>
      <c r="B1782" s="3" t="s">
        <v>4413</v>
      </c>
    </row>
    <row r="1783" spans="1:2">
      <c r="A1783" s="3" t="s">
        <v>4414</v>
      </c>
      <c r="B1783" s="3" t="s">
        <v>4415</v>
      </c>
    </row>
    <row r="1784" spans="1:2">
      <c r="A1784" s="3" t="s">
        <v>4416</v>
      </c>
      <c r="B1784" s="3" t="s">
        <v>4417</v>
      </c>
    </row>
    <row r="1785" spans="1:2">
      <c r="A1785" s="3" t="s">
        <v>4418</v>
      </c>
      <c r="B1785" s="3" t="s">
        <v>4419</v>
      </c>
    </row>
    <row r="1786" spans="1:2">
      <c r="A1786" s="3" t="s">
        <v>4420</v>
      </c>
      <c r="B1786" s="3" t="s">
        <v>4421</v>
      </c>
    </row>
    <row r="1787" spans="1:2">
      <c r="A1787" s="3" t="s">
        <v>4422</v>
      </c>
      <c r="B1787" s="3" t="s">
        <v>4423</v>
      </c>
    </row>
    <row r="1788" spans="1:2">
      <c r="A1788" s="3" t="s">
        <v>4424</v>
      </c>
      <c r="B1788" s="3" t="s">
        <v>4425</v>
      </c>
    </row>
    <row r="1789" spans="1:2">
      <c r="A1789" s="3" t="s">
        <v>4426</v>
      </c>
      <c r="B1789" s="3" t="s">
        <v>4427</v>
      </c>
    </row>
    <row r="1790" spans="1:2">
      <c r="A1790" s="3" t="s">
        <v>4428</v>
      </c>
      <c r="B1790" s="3" t="s">
        <v>4429</v>
      </c>
    </row>
    <row r="1791" spans="1:2">
      <c r="A1791" s="3" t="s">
        <v>4430</v>
      </c>
      <c r="B1791" s="3" t="s">
        <v>4431</v>
      </c>
    </row>
    <row r="1792" spans="1:2">
      <c r="A1792" s="3" t="s">
        <v>4432</v>
      </c>
      <c r="B1792" s="3" t="s">
        <v>4433</v>
      </c>
    </row>
    <row r="1793" spans="1:2">
      <c r="A1793" s="3" t="s">
        <v>4434</v>
      </c>
      <c r="B1793" s="3" t="s">
        <v>4435</v>
      </c>
    </row>
    <row r="1794" spans="1:2">
      <c r="A1794" s="3" t="s">
        <v>4436</v>
      </c>
      <c r="B1794" s="3" t="s">
        <v>4437</v>
      </c>
    </row>
    <row r="1795" spans="1:2">
      <c r="A1795" s="3" t="s">
        <v>4438</v>
      </c>
      <c r="B1795" s="3" t="s">
        <v>4439</v>
      </c>
    </row>
    <row r="1796" spans="1:2">
      <c r="A1796" s="3" t="s">
        <v>4440</v>
      </c>
      <c r="B1796" s="3" t="s">
        <v>4441</v>
      </c>
    </row>
    <row r="1797" spans="1:2">
      <c r="A1797" s="3" t="s">
        <v>4442</v>
      </c>
      <c r="B1797" s="3" t="s">
        <v>4443</v>
      </c>
    </row>
    <row r="1798" spans="1:2">
      <c r="A1798" s="3" t="s">
        <v>4444</v>
      </c>
      <c r="B1798" s="3" t="s">
        <v>4445</v>
      </c>
    </row>
    <row r="1799" spans="1:2">
      <c r="A1799" s="3" t="s">
        <v>4446</v>
      </c>
      <c r="B1799" s="3" t="s">
        <v>4447</v>
      </c>
    </row>
    <row r="1800" spans="1:2">
      <c r="A1800" s="3" t="s">
        <v>4448</v>
      </c>
      <c r="B1800" s="3" t="s">
        <v>4449</v>
      </c>
    </row>
    <row r="1801" spans="1:2">
      <c r="A1801" s="3" t="s">
        <v>4450</v>
      </c>
      <c r="B1801" s="3" t="s">
        <v>4451</v>
      </c>
    </row>
    <row r="1802" spans="1:2">
      <c r="A1802" s="3" t="s">
        <v>4452</v>
      </c>
      <c r="B1802" s="3" t="s">
        <v>4453</v>
      </c>
    </row>
    <row r="1803" spans="1:2">
      <c r="A1803" s="3" t="s">
        <v>4454</v>
      </c>
      <c r="B1803" s="3" t="s">
        <v>4455</v>
      </c>
    </row>
    <row r="1804" spans="1:2">
      <c r="A1804" s="3" t="s">
        <v>4456</v>
      </c>
      <c r="B1804" s="3" t="s">
        <v>4457</v>
      </c>
    </row>
    <row r="1805" spans="1:2">
      <c r="A1805" s="3" t="s">
        <v>4458</v>
      </c>
      <c r="B1805" s="3" t="s">
        <v>4459</v>
      </c>
    </row>
    <row r="1806" spans="1:2">
      <c r="A1806" s="3" t="s">
        <v>4460</v>
      </c>
      <c r="B1806" s="3" t="s">
        <v>4461</v>
      </c>
    </row>
    <row r="1807" spans="1:2">
      <c r="A1807" s="3" t="s">
        <v>4462</v>
      </c>
      <c r="B1807" s="3" t="s">
        <v>4463</v>
      </c>
    </row>
    <row r="1808" spans="1:2">
      <c r="A1808" s="3" t="s">
        <v>4464</v>
      </c>
      <c r="B1808" s="3" t="s">
        <v>4465</v>
      </c>
    </row>
    <row r="1809" spans="1:2">
      <c r="A1809" s="3" t="s">
        <v>4466</v>
      </c>
      <c r="B1809" s="3" t="s">
        <v>4467</v>
      </c>
    </row>
    <row r="1810" spans="1:2">
      <c r="A1810" s="3" t="s">
        <v>4468</v>
      </c>
      <c r="B1810" s="3" t="s">
        <v>4469</v>
      </c>
    </row>
    <row r="1811" spans="1:2">
      <c r="A1811" s="3" t="s">
        <v>4470</v>
      </c>
      <c r="B1811" s="3" t="s">
        <v>4471</v>
      </c>
    </row>
    <row r="1812" spans="1:2">
      <c r="A1812" s="3" t="s">
        <v>4472</v>
      </c>
      <c r="B1812" s="3" t="s">
        <v>4473</v>
      </c>
    </row>
    <row r="1813" spans="1:2">
      <c r="A1813" s="3" t="s">
        <v>4474</v>
      </c>
      <c r="B1813" s="3" t="s">
        <v>4475</v>
      </c>
    </row>
    <row r="1814" spans="1:2">
      <c r="A1814" s="3" t="s">
        <v>4476</v>
      </c>
      <c r="B1814" s="3" t="s">
        <v>4477</v>
      </c>
    </row>
    <row r="1815" spans="1:2">
      <c r="A1815" s="3" t="s">
        <v>4478</v>
      </c>
      <c r="B1815" s="3" t="s">
        <v>4479</v>
      </c>
    </row>
    <row r="1816" spans="1:2">
      <c r="A1816" s="3" t="s">
        <v>4480</v>
      </c>
      <c r="B1816" s="3" t="s">
        <v>4481</v>
      </c>
    </row>
    <row r="1817" spans="1:2">
      <c r="A1817" s="3" t="s">
        <v>4482</v>
      </c>
      <c r="B1817" s="3" t="s">
        <v>4483</v>
      </c>
    </row>
    <row r="1818" spans="1:2">
      <c r="A1818" s="3" t="s">
        <v>4484</v>
      </c>
      <c r="B1818" s="3" t="s">
        <v>4485</v>
      </c>
    </row>
    <row r="1819" spans="1:2">
      <c r="A1819" s="3" t="s">
        <v>4486</v>
      </c>
      <c r="B1819" s="3" t="s">
        <v>4487</v>
      </c>
    </row>
    <row r="1820" spans="1:2">
      <c r="A1820" s="3" t="s">
        <v>4488</v>
      </c>
      <c r="B1820" s="3" t="s">
        <v>4489</v>
      </c>
    </row>
    <row r="1821" spans="1:2">
      <c r="A1821" s="3" t="s">
        <v>4490</v>
      </c>
      <c r="B1821" s="3" t="s">
        <v>4491</v>
      </c>
    </row>
    <row r="1822" spans="1:2">
      <c r="A1822" s="3" t="s">
        <v>4492</v>
      </c>
      <c r="B1822" s="3" t="s">
        <v>4493</v>
      </c>
    </row>
    <row r="1823" spans="1:2">
      <c r="A1823" s="3" t="s">
        <v>4494</v>
      </c>
      <c r="B1823" s="3" t="s">
        <v>4495</v>
      </c>
    </row>
    <row r="1824" spans="1:2">
      <c r="A1824" s="3" t="s">
        <v>4496</v>
      </c>
      <c r="B1824" s="3" t="s">
        <v>4497</v>
      </c>
    </row>
    <row r="1825" spans="1:2">
      <c r="A1825" s="3" t="s">
        <v>4498</v>
      </c>
      <c r="B1825" s="3" t="s">
        <v>4499</v>
      </c>
    </row>
    <row r="1826" spans="1:2">
      <c r="A1826" s="3" t="s">
        <v>4500</v>
      </c>
      <c r="B1826" s="3" t="s">
        <v>4499</v>
      </c>
    </row>
    <row r="1827" spans="1:2">
      <c r="A1827" s="3" t="s">
        <v>4501</v>
      </c>
      <c r="B1827" s="3" t="s">
        <v>4502</v>
      </c>
    </row>
    <row r="1828" spans="1:2">
      <c r="A1828" s="3" t="s">
        <v>286</v>
      </c>
      <c r="B1828" s="3" t="s">
        <v>4503</v>
      </c>
    </row>
    <row r="1829" spans="1:2">
      <c r="A1829" s="3" t="s">
        <v>4504</v>
      </c>
      <c r="B1829" s="3" t="s">
        <v>4505</v>
      </c>
    </row>
    <row r="1830" spans="1:2">
      <c r="A1830" s="3" t="s">
        <v>4506</v>
      </c>
      <c r="B1830" s="3" t="s">
        <v>4507</v>
      </c>
    </row>
    <row r="1831" spans="1:2">
      <c r="A1831" s="3" t="s">
        <v>4508</v>
      </c>
      <c r="B1831" s="3" t="s">
        <v>4509</v>
      </c>
    </row>
    <row r="1832" spans="1:2">
      <c r="A1832" s="3" t="s">
        <v>4510</v>
      </c>
      <c r="B1832" s="3" t="s">
        <v>4511</v>
      </c>
    </row>
    <row r="1833" spans="1:2">
      <c r="A1833" s="3" t="s">
        <v>4512</v>
      </c>
      <c r="B1833" s="3" t="s">
        <v>4513</v>
      </c>
    </row>
    <row r="1834" spans="1:2">
      <c r="A1834" s="3" t="s">
        <v>4514</v>
      </c>
      <c r="B1834" s="3" t="s">
        <v>4515</v>
      </c>
    </row>
    <row r="1835" spans="1:2">
      <c r="A1835" s="3" t="s">
        <v>4516</v>
      </c>
      <c r="B1835" s="3" t="s">
        <v>4517</v>
      </c>
    </row>
    <row r="1836" spans="1:2">
      <c r="A1836" s="3" t="s">
        <v>4518</v>
      </c>
      <c r="B1836" s="3" t="s">
        <v>4519</v>
      </c>
    </row>
    <row r="1837" spans="1:2">
      <c r="A1837" s="3" t="s">
        <v>4520</v>
      </c>
      <c r="B1837" s="3" t="s">
        <v>4521</v>
      </c>
    </row>
    <row r="1838" spans="1:2">
      <c r="A1838" s="3" t="s">
        <v>4522</v>
      </c>
      <c r="B1838" s="3" t="s">
        <v>4523</v>
      </c>
    </row>
    <row r="1839" spans="1:2">
      <c r="A1839" s="3" t="s">
        <v>4524</v>
      </c>
      <c r="B1839" s="3" t="s">
        <v>4525</v>
      </c>
    </row>
    <row r="1840" spans="1:2">
      <c r="A1840" s="3" t="s">
        <v>4526</v>
      </c>
      <c r="B1840" s="3" t="s">
        <v>4527</v>
      </c>
    </row>
    <row r="1841" spans="1:2">
      <c r="A1841" s="3" t="s">
        <v>4528</v>
      </c>
      <c r="B1841" s="3" t="s">
        <v>4529</v>
      </c>
    </row>
    <row r="1842" spans="1:2">
      <c r="A1842" s="3" t="s">
        <v>4530</v>
      </c>
      <c r="B1842" s="3" t="s">
        <v>4531</v>
      </c>
    </row>
    <row r="1843" spans="1:2">
      <c r="A1843" s="3" t="s">
        <v>4532</v>
      </c>
      <c r="B1843" s="3" t="s">
        <v>4533</v>
      </c>
    </row>
    <row r="1844" spans="1:2">
      <c r="A1844" s="3" t="s">
        <v>4534</v>
      </c>
      <c r="B1844" s="3" t="s">
        <v>4535</v>
      </c>
    </row>
    <row r="1845" spans="1:2">
      <c r="A1845" s="3" t="s">
        <v>4536</v>
      </c>
      <c r="B1845" s="3" t="s">
        <v>4537</v>
      </c>
    </row>
    <row r="1846" spans="1:2">
      <c r="A1846" s="3" t="s">
        <v>4538</v>
      </c>
      <c r="B1846" s="3" t="s">
        <v>4539</v>
      </c>
    </row>
    <row r="1847" spans="1:2">
      <c r="A1847" s="3" t="s">
        <v>4540</v>
      </c>
      <c r="B1847" s="3" t="s">
        <v>4541</v>
      </c>
    </row>
    <row r="1848" spans="1:2">
      <c r="A1848" s="3" t="s">
        <v>4542</v>
      </c>
      <c r="B1848" s="3" t="s">
        <v>4543</v>
      </c>
    </row>
    <row r="1849" spans="1:2">
      <c r="A1849" s="3" t="s">
        <v>4544</v>
      </c>
      <c r="B1849" s="3" t="s">
        <v>4545</v>
      </c>
    </row>
    <row r="1850" spans="1:2">
      <c r="A1850" s="3" t="s">
        <v>4546</v>
      </c>
      <c r="B1850" s="3" t="s">
        <v>4547</v>
      </c>
    </row>
    <row r="1851" spans="1:2">
      <c r="A1851" s="3" t="s">
        <v>4548</v>
      </c>
      <c r="B1851" s="3" t="s">
        <v>4549</v>
      </c>
    </row>
    <row r="1852" spans="1:2">
      <c r="A1852" s="3" t="s">
        <v>4550</v>
      </c>
      <c r="B1852" s="3" t="s">
        <v>4551</v>
      </c>
    </row>
    <row r="1853" spans="1:2">
      <c r="A1853" s="3" t="s">
        <v>4552</v>
      </c>
      <c r="B1853" s="3" t="s">
        <v>4553</v>
      </c>
    </row>
    <row r="1854" spans="1:2">
      <c r="A1854" s="3" t="s">
        <v>4554</v>
      </c>
      <c r="B1854" s="3" t="s">
        <v>4555</v>
      </c>
    </row>
    <row r="1855" spans="1:2">
      <c r="A1855" s="3" t="s">
        <v>4556</v>
      </c>
      <c r="B1855" s="3" t="s">
        <v>4557</v>
      </c>
    </row>
    <row r="1856" spans="1:2">
      <c r="A1856" s="3" t="s">
        <v>4558</v>
      </c>
      <c r="B1856" s="3" t="s">
        <v>4559</v>
      </c>
    </row>
    <row r="1857" spans="1:2">
      <c r="A1857" s="3" t="s">
        <v>4560</v>
      </c>
      <c r="B1857" s="3" t="s">
        <v>4561</v>
      </c>
    </row>
    <row r="1858" spans="1:2">
      <c r="A1858" s="3" t="s">
        <v>4562</v>
      </c>
      <c r="B1858" s="3" t="s">
        <v>4563</v>
      </c>
    </row>
    <row r="1859" spans="1:2">
      <c r="A1859" s="3" t="s">
        <v>4564</v>
      </c>
      <c r="B1859" s="3" t="s">
        <v>4565</v>
      </c>
    </row>
    <row r="1860" spans="1:2">
      <c r="A1860" s="3" t="s">
        <v>4566</v>
      </c>
      <c r="B1860" s="3" t="s">
        <v>4567</v>
      </c>
    </row>
    <row r="1861" spans="1:2">
      <c r="A1861" s="3" t="s">
        <v>4568</v>
      </c>
      <c r="B1861" s="3" t="s">
        <v>4569</v>
      </c>
    </row>
    <row r="1862" spans="1:2">
      <c r="A1862" s="3" t="s">
        <v>4570</v>
      </c>
      <c r="B1862" s="3" t="s">
        <v>4571</v>
      </c>
    </row>
    <row r="1863" spans="1:2">
      <c r="A1863" s="3" t="s">
        <v>4572</v>
      </c>
      <c r="B1863" s="3" t="s">
        <v>4573</v>
      </c>
    </row>
    <row r="1864" spans="1:2">
      <c r="A1864" s="3" t="s">
        <v>4574</v>
      </c>
      <c r="B1864" s="3" t="s">
        <v>4575</v>
      </c>
    </row>
    <row r="1865" spans="1:2">
      <c r="A1865" s="3" t="s">
        <v>4576</v>
      </c>
      <c r="B1865" s="3" t="s">
        <v>4577</v>
      </c>
    </row>
    <row r="1866" spans="1:2">
      <c r="A1866" s="3" t="s">
        <v>4578</v>
      </c>
      <c r="B1866" s="3" t="s">
        <v>4579</v>
      </c>
    </row>
    <row r="1867" spans="1:2">
      <c r="A1867" s="3" t="s">
        <v>4580</v>
      </c>
      <c r="B1867" s="3" t="s">
        <v>4581</v>
      </c>
    </row>
    <row r="1868" spans="1:2">
      <c r="A1868" s="3" t="s">
        <v>4582</v>
      </c>
      <c r="B1868" s="3" t="s">
        <v>4583</v>
      </c>
    </row>
    <row r="1869" spans="1:2">
      <c r="A1869" s="3" t="s">
        <v>4584</v>
      </c>
      <c r="B1869" s="3" t="s">
        <v>4585</v>
      </c>
    </row>
    <row r="1870" spans="1:2">
      <c r="A1870" s="3" t="s">
        <v>4586</v>
      </c>
      <c r="B1870" s="3" t="s">
        <v>4587</v>
      </c>
    </row>
    <row r="1871" spans="1:2">
      <c r="A1871" s="3" t="s">
        <v>4588</v>
      </c>
      <c r="B1871" s="3" t="s">
        <v>4589</v>
      </c>
    </row>
    <row r="1872" spans="1:2">
      <c r="A1872" s="3" t="s">
        <v>4590</v>
      </c>
      <c r="B1872" s="3" t="s">
        <v>4591</v>
      </c>
    </row>
    <row r="1873" spans="1:2">
      <c r="A1873" s="3" t="s">
        <v>4592</v>
      </c>
      <c r="B1873" s="3" t="s">
        <v>4593</v>
      </c>
    </row>
    <row r="1874" spans="1:2">
      <c r="A1874" s="3" t="s">
        <v>4594</v>
      </c>
      <c r="B1874" s="3" t="s">
        <v>4595</v>
      </c>
    </row>
    <row r="1875" spans="1:2">
      <c r="A1875" s="3" t="s">
        <v>4596</v>
      </c>
      <c r="B1875" s="3" t="s">
        <v>4597</v>
      </c>
    </row>
    <row r="1876" spans="1:2">
      <c r="A1876" s="3" t="s">
        <v>4598</v>
      </c>
      <c r="B1876" s="3" t="s">
        <v>4599</v>
      </c>
    </row>
    <row r="1877" spans="1:2">
      <c r="A1877" s="3" t="s">
        <v>4600</v>
      </c>
      <c r="B1877" s="3" t="s">
        <v>4601</v>
      </c>
    </row>
    <row r="1878" spans="1:2">
      <c r="A1878" s="3" t="s">
        <v>4602</v>
      </c>
      <c r="B1878" s="3" t="s">
        <v>4603</v>
      </c>
    </row>
    <row r="1879" spans="1:2">
      <c r="A1879" s="3" t="s">
        <v>4604</v>
      </c>
      <c r="B1879" s="3" t="s">
        <v>4605</v>
      </c>
    </row>
    <row r="1880" spans="1:2">
      <c r="A1880" s="3" t="s">
        <v>4606</v>
      </c>
      <c r="B1880" s="3" t="s">
        <v>4607</v>
      </c>
    </row>
    <row r="1881" spans="1:2">
      <c r="A1881" s="3" t="s">
        <v>4608</v>
      </c>
      <c r="B1881" s="3" t="s">
        <v>4609</v>
      </c>
    </row>
    <row r="1882" spans="1:2">
      <c r="A1882" s="3" t="s">
        <v>4610</v>
      </c>
      <c r="B1882" s="3" t="s">
        <v>4611</v>
      </c>
    </row>
    <row r="1883" spans="1:2">
      <c r="A1883" s="3" t="s">
        <v>4612</v>
      </c>
      <c r="B1883" s="3" t="s">
        <v>4613</v>
      </c>
    </row>
    <row r="1884" spans="1:2">
      <c r="A1884" s="3" t="s">
        <v>4614</v>
      </c>
      <c r="B1884" s="3" t="s">
        <v>4615</v>
      </c>
    </row>
    <row r="1885" spans="1:2">
      <c r="A1885" s="3" t="s">
        <v>4616</v>
      </c>
      <c r="B1885" s="3" t="s">
        <v>4617</v>
      </c>
    </row>
    <row r="1886" spans="1:2">
      <c r="A1886" s="3" t="s">
        <v>4618</v>
      </c>
      <c r="B1886" s="3" t="s">
        <v>4619</v>
      </c>
    </row>
    <row r="1887" spans="1:2">
      <c r="A1887" s="3" t="s">
        <v>4620</v>
      </c>
      <c r="B1887" s="3" t="s">
        <v>4621</v>
      </c>
    </row>
    <row r="1888" spans="1:2">
      <c r="A1888" s="3" t="s">
        <v>4622</v>
      </c>
      <c r="B1888" s="3" t="s">
        <v>4623</v>
      </c>
    </row>
    <row r="1889" spans="1:2">
      <c r="A1889" s="3" t="s">
        <v>4624</v>
      </c>
      <c r="B1889" s="3" t="s">
        <v>4625</v>
      </c>
    </row>
    <row r="1890" spans="1:2">
      <c r="A1890" s="3" t="s">
        <v>4626</v>
      </c>
      <c r="B1890" s="3" t="s">
        <v>4627</v>
      </c>
    </row>
    <row r="1891" spans="1:2">
      <c r="A1891" s="3" t="s">
        <v>4628</v>
      </c>
      <c r="B1891" s="3" t="s">
        <v>4629</v>
      </c>
    </row>
    <row r="1892" spans="1:2">
      <c r="A1892" s="3" t="s">
        <v>4630</v>
      </c>
      <c r="B1892" s="3" t="s">
        <v>4631</v>
      </c>
    </row>
    <row r="1893" spans="1:2">
      <c r="A1893" s="3" t="s">
        <v>4632</v>
      </c>
      <c r="B1893" s="3" t="s">
        <v>4633</v>
      </c>
    </row>
    <row r="1894" spans="1:2">
      <c r="A1894" s="3" t="s">
        <v>4634</v>
      </c>
      <c r="B1894" s="3" t="s">
        <v>4635</v>
      </c>
    </row>
    <row r="1895" spans="1:2">
      <c r="A1895" s="3" t="s">
        <v>4636</v>
      </c>
      <c r="B1895" s="3" t="s">
        <v>4637</v>
      </c>
    </row>
    <row r="1896" spans="1:2">
      <c r="A1896" s="3" t="s">
        <v>4638</v>
      </c>
      <c r="B1896" s="3" t="s">
        <v>4639</v>
      </c>
    </row>
    <row r="1897" spans="1:2">
      <c r="A1897" s="3" t="s">
        <v>4640</v>
      </c>
      <c r="B1897" s="3" t="s">
        <v>4641</v>
      </c>
    </row>
    <row r="1898" spans="1:2">
      <c r="A1898" s="3" t="s">
        <v>4642</v>
      </c>
      <c r="B1898" s="3" t="s">
        <v>4643</v>
      </c>
    </row>
    <row r="1899" spans="1:2">
      <c r="A1899" s="3" t="s">
        <v>4644</v>
      </c>
      <c r="B1899" s="3" t="s">
        <v>4645</v>
      </c>
    </row>
    <row r="1900" spans="1:2">
      <c r="A1900" s="3" t="s">
        <v>4646</v>
      </c>
      <c r="B1900" s="3" t="s">
        <v>4647</v>
      </c>
    </row>
    <row r="1901" spans="1:2">
      <c r="A1901" s="3" t="s">
        <v>4648</v>
      </c>
      <c r="B1901" s="3" t="s">
        <v>4649</v>
      </c>
    </row>
    <row r="1902" spans="1:2">
      <c r="A1902" s="3" t="s">
        <v>4650</v>
      </c>
      <c r="B1902" s="3" t="s">
        <v>4651</v>
      </c>
    </row>
    <row r="1903" spans="1:2">
      <c r="A1903" s="3" t="s">
        <v>4652</v>
      </c>
      <c r="B1903" s="3" t="s">
        <v>4653</v>
      </c>
    </row>
    <row r="1904" spans="1:2">
      <c r="A1904" s="3" t="s">
        <v>4654</v>
      </c>
      <c r="B1904" s="3" t="s">
        <v>4655</v>
      </c>
    </row>
    <row r="1905" spans="1:2">
      <c r="A1905" s="3" t="s">
        <v>4656</v>
      </c>
      <c r="B1905" s="3" t="s">
        <v>4657</v>
      </c>
    </row>
    <row r="1906" spans="1:2">
      <c r="A1906" s="3" t="s">
        <v>4658</v>
      </c>
      <c r="B1906" s="3" t="s">
        <v>4659</v>
      </c>
    </row>
    <row r="1907" spans="1:2">
      <c r="A1907" s="3" t="s">
        <v>4660</v>
      </c>
      <c r="B1907" s="3" t="s">
        <v>4661</v>
      </c>
    </row>
    <row r="1908" spans="1:2">
      <c r="A1908" s="3" t="s">
        <v>4662</v>
      </c>
      <c r="B1908" s="3" t="s">
        <v>4663</v>
      </c>
    </row>
    <row r="1909" spans="1:2">
      <c r="A1909" s="3" t="s">
        <v>4664</v>
      </c>
      <c r="B1909" s="3" t="s">
        <v>4665</v>
      </c>
    </row>
    <row r="1910" spans="1:2">
      <c r="A1910" s="3" t="s">
        <v>4666</v>
      </c>
      <c r="B1910" s="3" t="s">
        <v>4667</v>
      </c>
    </row>
    <row r="1911" spans="1:2">
      <c r="A1911" s="3" t="s">
        <v>4668</v>
      </c>
      <c r="B1911" s="3" t="s">
        <v>4669</v>
      </c>
    </row>
    <row r="1912" spans="1:2">
      <c r="A1912" s="3" t="s">
        <v>4670</v>
      </c>
      <c r="B1912" s="3" t="s">
        <v>4671</v>
      </c>
    </row>
    <row r="1913" spans="1:2">
      <c r="A1913" s="3" t="s">
        <v>4672</v>
      </c>
      <c r="B1913" s="3" t="s">
        <v>4673</v>
      </c>
    </row>
    <row r="1914" spans="1:2">
      <c r="A1914" s="3" t="s">
        <v>4674</v>
      </c>
      <c r="B1914" s="3" t="s">
        <v>4675</v>
      </c>
    </row>
    <row r="1915" spans="1:2">
      <c r="A1915" s="3" t="s">
        <v>4676</v>
      </c>
      <c r="B1915" s="3" t="s">
        <v>4677</v>
      </c>
    </row>
    <row r="1916" spans="1:2">
      <c r="A1916" s="3" t="s">
        <v>4678</v>
      </c>
      <c r="B1916" s="3" t="s">
        <v>4679</v>
      </c>
    </row>
    <row r="1917" spans="1:2">
      <c r="A1917" s="3" t="s">
        <v>4680</v>
      </c>
      <c r="B1917" s="3" t="s">
        <v>4681</v>
      </c>
    </row>
    <row r="1918" spans="1:2">
      <c r="A1918" s="3" t="s">
        <v>4682</v>
      </c>
      <c r="B1918" s="3" t="s">
        <v>4683</v>
      </c>
    </row>
    <row r="1919" spans="1:2">
      <c r="A1919" s="3" t="s">
        <v>4684</v>
      </c>
      <c r="B1919" s="3" t="s">
        <v>4685</v>
      </c>
    </row>
    <row r="1920" spans="1:2">
      <c r="A1920" s="3" t="s">
        <v>4686</v>
      </c>
      <c r="B1920" s="3" t="s">
        <v>4687</v>
      </c>
    </row>
    <row r="1921" spans="1:2">
      <c r="A1921" s="3" t="s">
        <v>4688</v>
      </c>
      <c r="B1921" s="3" t="s">
        <v>4689</v>
      </c>
    </row>
    <row r="1922" spans="1:2">
      <c r="A1922" s="3" t="s">
        <v>4690</v>
      </c>
      <c r="B1922" s="3" t="s">
        <v>4691</v>
      </c>
    </row>
    <row r="1923" spans="1:2">
      <c r="A1923" s="3" t="s">
        <v>4692</v>
      </c>
      <c r="B1923" s="3" t="s">
        <v>4693</v>
      </c>
    </row>
    <row r="1924" spans="1:2">
      <c r="A1924" s="3" t="s">
        <v>4694</v>
      </c>
      <c r="B1924" s="3" t="s">
        <v>4695</v>
      </c>
    </row>
    <row r="1925" spans="1:2">
      <c r="A1925" s="3" t="s">
        <v>4696</v>
      </c>
      <c r="B1925" s="3" t="s">
        <v>4697</v>
      </c>
    </row>
    <row r="1926" spans="1:2">
      <c r="A1926" s="3" t="s">
        <v>4698</v>
      </c>
      <c r="B1926" s="3" t="s">
        <v>4699</v>
      </c>
    </row>
    <row r="1927" spans="1:2">
      <c r="A1927" s="3" t="s">
        <v>4700</v>
      </c>
      <c r="B1927" s="3" t="s">
        <v>4701</v>
      </c>
    </row>
    <row r="1928" spans="1:2">
      <c r="A1928" s="3" t="s">
        <v>4702</v>
      </c>
      <c r="B1928" s="3" t="s">
        <v>4703</v>
      </c>
    </row>
    <row r="1929" spans="1:2">
      <c r="A1929" s="3" t="s">
        <v>4704</v>
      </c>
      <c r="B1929" s="3" t="s">
        <v>4705</v>
      </c>
    </row>
    <row r="1930" spans="1:2">
      <c r="A1930" s="3" t="s">
        <v>4706</v>
      </c>
      <c r="B1930" s="3" t="s">
        <v>4707</v>
      </c>
    </row>
    <row r="1931" spans="1:2">
      <c r="A1931" s="3" t="s">
        <v>4708</v>
      </c>
      <c r="B1931" s="3" t="s">
        <v>4709</v>
      </c>
    </row>
    <row r="1932" spans="1:2">
      <c r="A1932" s="3" t="s">
        <v>4710</v>
      </c>
      <c r="B1932" s="3" t="s">
        <v>4711</v>
      </c>
    </row>
    <row r="1933" spans="1:2">
      <c r="A1933" s="3" t="s">
        <v>4712</v>
      </c>
      <c r="B1933" s="3" t="s">
        <v>4713</v>
      </c>
    </row>
    <row r="1934" spans="1:2">
      <c r="A1934" s="3" t="s">
        <v>4714</v>
      </c>
      <c r="B1934" s="3" t="s">
        <v>4715</v>
      </c>
    </row>
    <row r="1935" spans="1:2">
      <c r="A1935" s="3" t="s">
        <v>4716</v>
      </c>
      <c r="B1935" s="3" t="s">
        <v>4717</v>
      </c>
    </row>
    <row r="1936" spans="1:2">
      <c r="A1936" s="3" t="s">
        <v>4718</v>
      </c>
      <c r="B1936" s="3" t="s">
        <v>4719</v>
      </c>
    </row>
    <row r="1937" spans="1:2">
      <c r="A1937" s="3" t="s">
        <v>4720</v>
      </c>
      <c r="B1937" s="3" t="s">
        <v>4721</v>
      </c>
    </row>
    <row r="1938" spans="1:2">
      <c r="A1938" s="3" t="s">
        <v>4722</v>
      </c>
      <c r="B1938" s="3" t="s">
        <v>4723</v>
      </c>
    </row>
    <row r="1939" spans="1:2">
      <c r="A1939" s="3" t="s">
        <v>4724</v>
      </c>
      <c r="B1939" s="3" t="s">
        <v>4725</v>
      </c>
    </row>
    <row r="1940" spans="1:2">
      <c r="A1940" s="3" t="s">
        <v>4726</v>
      </c>
      <c r="B1940" s="3" t="s">
        <v>4727</v>
      </c>
    </row>
    <row r="1941" spans="1:2">
      <c r="A1941" s="3" t="s">
        <v>4728</v>
      </c>
      <c r="B1941" s="3" t="s">
        <v>4729</v>
      </c>
    </row>
    <row r="1942" spans="1:2">
      <c r="A1942" s="3" t="s">
        <v>4730</v>
      </c>
      <c r="B1942" s="3" t="s">
        <v>4731</v>
      </c>
    </row>
    <row r="1943" spans="1:2">
      <c r="A1943" s="3" t="s">
        <v>4732</v>
      </c>
      <c r="B1943" s="3" t="s">
        <v>4733</v>
      </c>
    </row>
    <row r="1944" spans="1:2">
      <c r="A1944" s="3" t="s">
        <v>4734</v>
      </c>
      <c r="B1944" s="3" t="s">
        <v>4735</v>
      </c>
    </row>
    <row r="1945" spans="1:2">
      <c r="A1945" s="3" t="s">
        <v>4736</v>
      </c>
      <c r="B1945" s="3" t="s">
        <v>4737</v>
      </c>
    </row>
    <row r="1946" spans="1:2">
      <c r="A1946" s="3" t="s">
        <v>4738</v>
      </c>
      <c r="B1946" s="3" t="s">
        <v>4739</v>
      </c>
    </row>
    <row r="1947" spans="1:2">
      <c r="A1947" s="3" t="s">
        <v>4740</v>
      </c>
      <c r="B1947" s="3" t="s">
        <v>4741</v>
      </c>
    </row>
    <row r="1948" spans="1:2">
      <c r="A1948" s="3" t="s">
        <v>4742</v>
      </c>
      <c r="B1948" s="3" t="s">
        <v>4743</v>
      </c>
    </row>
    <row r="1949" spans="1:2">
      <c r="A1949" s="3" t="s">
        <v>4744</v>
      </c>
      <c r="B1949" s="3" t="s">
        <v>4745</v>
      </c>
    </row>
    <row r="1950" spans="1:2">
      <c r="A1950" s="3" t="s">
        <v>4746</v>
      </c>
      <c r="B1950" s="3" t="s">
        <v>4321</v>
      </c>
    </row>
    <row r="1951" spans="1:2">
      <c r="A1951" s="3" t="s">
        <v>4747</v>
      </c>
      <c r="B1951" s="3" t="s">
        <v>4748</v>
      </c>
    </row>
    <row r="1952" spans="1:2">
      <c r="A1952" s="3" t="s">
        <v>4749</v>
      </c>
      <c r="B1952" s="3" t="s">
        <v>4750</v>
      </c>
    </row>
    <row r="1953" spans="1:2">
      <c r="A1953" s="3" t="s">
        <v>4751</v>
      </c>
      <c r="B1953" s="3" t="s">
        <v>4752</v>
      </c>
    </row>
    <row r="1954" spans="1:2">
      <c r="A1954" s="3" t="s">
        <v>4753</v>
      </c>
      <c r="B1954" s="3" t="s">
        <v>4754</v>
      </c>
    </row>
    <row r="1955" spans="1:2">
      <c r="A1955" s="3" t="s">
        <v>4755</v>
      </c>
      <c r="B1955" s="3" t="s">
        <v>4756</v>
      </c>
    </row>
    <row r="1956" spans="1:2">
      <c r="A1956" s="3" t="s">
        <v>4757</v>
      </c>
      <c r="B1956" s="3" t="s">
        <v>4758</v>
      </c>
    </row>
    <row r="1957" spans="1:2">
      <c r="A1957" s="3" t="s">
        <v>4759</v>
      </c>
      <c r="B1957" s="3" t="s">
        <v>4760</v>
      </c>
    </row>
    <row r="1958" spans="1:2">
      <c r="A1958" s="3" t="s">
        <v>4761</v>
      </c>
      <c r="B1958" s="3" t="s">
        <v>4762</v>
      </c>
    </row>
    <row r="1959" spans="1:2">
      <c r="A1959" s="3" t="s">
        <v>4763</v>
      </c>
      <c r="B1959" s="3" t="s">
        <v>4764</v>
      </c>
    </row>
    <row r="1960" spans="1:2">
      <c r="A1960" s="3" t="s">
        <v>4765</v>
      </c>
      <c r="B1960" s="3" t="s">
        <v>4766</v>
      </c>
    </row>
    <row r="1961" spans="1:2">
      <c r="A1961" s="3" t="s">
        <v>4767</v>
      </c>
      <c r="B1961" s="3" t="s">
        <v>4768</v>
      </c>
    </row>
    <row r="1962" spans="1:2">
      <c r="A1962" s="3" t="s">
        <v>4769</v>
      </c>
      <c r="B1962" s="3" t="s">
        <v>4770</v>
      </c>
    </row>
    <row r="1963" spans="1:2">
      <c r="A1963" s="3" t="s">
        <v>4771</v>
      </c>
      <c r="B1963" s="3" t="s">
        <v>4772</v>
      </c>
    </row>
    <row r="1964" spans="1:2">
      <c r="A1964" s="3" t="s">
        <v>4773</v>
      </c>
      <c r="B1964" s="3" t="s">
        <v>4774</v>
      </c>
    </row>
    <row r="1965" spans="1:2">
      <c r="A1965" s="3" t="s">
        <v>4775</v>
      </c>
      <c r="B1965" s="3" t="s">
        <v>4776</v>
      </c>
    </row>
    <row r="1966" spans="1:2">
      <c r="A1966" s="3" t="s">
        <v>4777</v>
      </c>
      <c r="B1966" s="3" t="s">
        <v>4778</v>
      </c>
    </row>
    <row r="1967" spans="1:2">
      <c r="A1967" s="3" t="s">
        <v>4779</v>
      </c>
      <c r="B1967" s="3" t="s">
        <v>4780</v>
      </c>
    </row>
    <row r="1968" spans="1:2">
      <c r="A1968" s="3" t="s">
        <v>4781</v>
      </c>
      <c r="B1968" s="3" t="s">
        <v>4782</v>
      </c>
    </row>
    <row r="1969" spans="1:2">
      <c r="A1969" s="3" t="s">
        <v>4783</v>
      </c>
      <c r="B1969" s="3" t="s">
        <v>4784</v>
      </c>
    </row>
    <row r="1970" spans="1:2">
      <c r="A1970" s="3" t="s">
        <v>4785</v>
      </c>
      <c r="B1970" s="3" t="s">
        <v>4786</v>
      </c>
    </row>
    <row r="1971" spans="1:2">
      <c r="A1971" s="3" t="s">
        <v>4787</v>
      </c>
      <c r="B1971" s="3" t="s">
        <v>4788</v>
      </c>
    </row>
    <row r="1972" spans="1:2">
      <c r="A1972" s="3" t="s">
        <v>4789</v>
      </c>
      <c r="B1972" s="3" t="s">
        <v>4790</v>
      </c>
    </row>
    <row r="1973" spans="1:2">
      <c r="A1973" s="3" t="s">
        <v>4791</v>
      </c>
      <c r="B1973" s="3" t="s">
        <v>4792</v>
      </c>
    </row>
    <row r="1974" spans="1:2">
      <c r="A1974" s="3" t="s">
        <v>4793</v>
      </c>
      <c r="B1974" s="3" t="s">
        <v>4794</v>
      </c>
    </row>
    <row r="1975" spans="1:2">
      <c r="A1975" s="3" t="s">
        <v>4795</v>
      </c>
      <c r="B1975" s="3" t="s">
        <v>4796</v>
      </c>
    </row>
    <row r="1976" spans="1:2">
      <c r="A1976" s="3" t="s">
        <v>4797</v>
      </c>
      <c r="B1976" s="3" t="s">
        <v>4798</v>
      </c>
    </row>
    <row r="1977" spans="1:2">
      <c r="A1977" s="3" t="s">
        <v>4799</v>
      </c>
      <c r="B1977" s="3" t="s">
        <v>4800</v>
      </c>
    </row>
    <row r="1978" spans="1:2">
      <c r="A1978" s="3" t="s">
        <v>4801</v>
      </c>
      <c r="B1978" s="3" t="s">
        <v>4802</v>
      </c>
    </row>
    <row r="1979" spans="1:2">
      <c r="A1979" s="3" t="s">
        <v>4803</v>
      </c>
      <c r="B1979" s="3" t="s">
        <v>4804</v>
      </c>
    </row>
    <row r="1980" spans="1:2">
      <c r="A1980" s="3" t="s">
        <v>4805</v>
      </c>
      <c r="B1980" s="3" t="s">
        <v>4806</v>
      </c>
    </row>
    <row r="1981" spans="1:2">
      <c r="A1981" s="3" t="s">
        <v>4807</v>
      </c>
      <c r="B1981" s="3" t="s">
        <v>4808</v>
      </c>
    </row>
    <row r="1982" spans="1:2">
      <c r="A1982" s="3" t="s">
        <v>4809</v>
      </c>
      <c r="B1982" s="3" t="s">
        <v>4810</v>
      </c>
    </row>
    <row r="1983" spans="1:2">
      <c r="A1983" s="3" t="s">
        <v>4811</v>
      </c>
      <c r="B1983" s="3" t="s">
        <v>4812</v>
      </c>
    </row>
    <row r="1984" spans="1:2">
      <c r="A1984" s="3" t="s">
        <v>4813</v>
      </c>
      <c r="B1984" s="3" t="s">
        <v>4814</v>
      </c>
    </row>
    <row r="1985" spans="1:2">
      <c r="A1985" s="3" t="s">
        <v>4815</v>
      </c>
      <c r="B1985" s="3" t="s">
        <v>4816</v>
      </c>
    </row>
    <row r="1986" spans="1:2">
      <c r="A1986" s="3" t="s">
        <v>4817</v>
      </c>
      <c r="B1986" s="3" t="s">
        <v>4818</v>
      </c>
    </row>
    <row r="1987" spans="1:2">
      <c r="A1987" s="3" t="s">
        <v>4819</v>
      </c>
      <c r="B1987" s="3" t="s">
        <v>4820</v>
      </c>
    </row>
    <row r="1988" spans="1:2">
      <c r="A1988" s="3" t="s">
        <v>4821</v>
      </c>
      <c r="B1988" s="3" t="s">
        <v>4822</v>
      </c>
    </row>
    <row r="1989" spans="1:2">
      <c r="A1989" s="3" t="s">
        <v>4823</v>
      </c>
      <c r="B1989" s="3" t="s">
        <v>4824</v>
      </c>
    </row>
    <row r="1990" spans="1:2">
      <c r="A1990" s="3" t="s">
        <v>4825</v>
      </c>
      <c r="B1990" s="3" t="s">
        <v>4826</v>
      </c>
    </row>
    <row r="1991" spans="1:2">
      <c r="A1991" s="3" t="s">
        <v>4827</v>
      </c>
      <c r="B1991" s="3" t="s">
        <v>4828</v>
      </c>
    </row>
    <row r="1992" spans="1:2">
      <c r="A1992" s="3" t="s">
        <v>4829</v>
      </c>
      <c r="B1992" s="3" t="s">
        <v>4830</v>
      </c>
    </row>
    <row r="1993" spans="1:2">
      <c r="A1993" s="3" t="s">
        <v>4831</v>
      </c>
      <c r="B1993" s="3" t="s">
        <v>4832</v>
      </c>
    </row>
    <row r="1994" spans="1:2">
      <c r="A1994" s="3" t="s">
        <v>4833</v>
      </c>
      <c r="B1994" s="3" t="s">
        <v>4834</v>
      </c>
    </row>
    <row r="1995" spans="1:2">
      <c r="A1995" s="3" t="s">
        <v>4835</v>
      </c>
      <c r="B1995" s="3" t="s">
        <v>4836</v>
      </c>
    </row>
    <row r="1996" spans="1:2">
      <c r="A1996" s="3" t="s">
        <v>4837</v>
      </c>
      <c r="B1996" s="3" t="s">
        <v>4838</v>
      </c>
    </row>
    <row r="1997" spans="1:2">
      <c r="A1997" s="3" t="s">
        <v>4839</v>
      </c>
      <c r="B1997" s="3" t="s">
        <v>4840</v>
      </c>
    </row>
    <row r="1998" spans="1:2">
      <c r="A1998" s="3" t="s">
        <v>4841</v>
      </c>
      <c r="B1998" s="3" t="s">
        <v>4842</v>
      </c>
    </row>
    <row r="1999" spans="1:2">
      <c r="A1999" s="3" t="s">
        <v>4843</v>
      </c>
      <c r="B1999" s="3" t="s">
        <v>4844</v>
      </c>
    </row>
    <row r="2000" spans="1:2">
      <c r="A2000" s="3" t="s">
        <v>4845</v>
      </c>
      <c r="B2000" s="3" t="s">
        <v>4846</v>
      </c>
    </row>
    <row r="2001" spans="1:2">
      <c r="A2001" s="3" t="s">
        <v>4847</v>
      </c>
      <c r="B2001" s="3" t="s">
        <v>4848</v>
      </c>
    </row>
    <row r="2002" spans="1:2">
      <c r="A2002" s="3" t="s">
        <v>4849</v>
      </c>
      <c r="B2002" s="3" t="s">
        <v>4850</v>
      </c>
    </row>
    <row r="2003" spans="1:2">
      <c r="A2003" s="3" t="s">
        <v>4851</v>
      </c>
      <c r="B2003" s="3" t="s">
        <v>4852</v>
      </c>
    </row>
    <row r="2004" spans="1:2">
      <c r="A2004" s="3" t="s">
        <v>4853</v>
      </c>
      <c r="B2004" s="3" t="s">
        <v>4854</v>
      </c>
    </row>
    <row r="2005" spans="1:2">
      <c r="A2005" s="3" t="s">
        <v>4855</v>
      </c>
      <c r="B2005" s="3" t="s">
        <v>4856</v>
      </c>
    </row>
    <row r="2006" spans="1:2">
      <c r="A2006" s="3" t="s">
        <v>4857</v>
      </c>
      <c r="B2006" s="3" t="s">
        <v>4858</v>
      </c>
    </row>
    <row r="2007" spans="1:2">
      <c r="A2007" s="3" t="s">
        <v>4859</v>
      </c>
      <c r="B2007" s="3" t="s">
        <v>4860</v>
      </c>
    </row>
    <row r="2008" spans="1:2">
      <c r="A2008" s="3" t="s">
        <v>4861</v>
      </c>
      <c r="B2008" s="3" t="s">
        <v>4862</v>
      </c>
    </row>
    <row r="2009" spans="1:2">
      <c r="A2009" s="3" t="s">
        <v>4863</v>
      </c>
      <c r="B2009" s="3" t="s">
        <v>4864</v>
      </c>
    </row>
    <row r="2010" spans="1:2">
      <c r="A2010" s="3" t="s">
        <v>4865</v>
      </c>
      <c r="B2010" s="3" t="s">
        <v>4866</v>
      </c>
    </row>
    <row r="2011" spans="1:2">
      <c r="A2011" s="3" t="s">
        <v>4867</v>
      </c>
      <c r="B2011" s="3" t="s">
        <v>4868</v>
      </c>
    </row>
    <row r="2012" spans="1:2">
      <c r="A2012" s="3" t="s">
        <v>4869</v>
      </c>
      <c r="B2012" s="3" t="s">
        <v>4870</v>
      </c>
    </row>
    <row r="2013" spans="1:2">
      <c r="A2013" s="3" t="s">
        <v>4871</v>
      </c>
      <c r="B2013" s="3" t="s">
        <v>4872</v>
      </c>
    </row>
    <row r="2014" spans="1:2">
      <c r="A2014" s="3" t="s">
        <v>4873</v>
      </c>
      <c r="B2014" s="3" t="s">
        <v>4874</v>
      </c>
    </row>
    <row r="2015" spans="1:2">
      <c r="A2015" s="3" t="s">
        <v>4875</v>
      </c>
      <c r="B2015" s="3" t="s">
        <v>4876</v>
      </c>
    </row>
    <row r="2016" spans="1:2">
      <c r="A2016" s="3" t="s">
        <v>4877</v>
      </c>
      <c r="B2016" s="3" t="s">
        <v>4878</v>
      </c>
    </row>
    <row r="2017" spans="1:2">
      <c r="A2017" s="3" t="s">
        <v>4879</v>
      </c>
      <c r="B2017" s="3" t="s">
        <v>4880</v>
      </c>
    </row>
    <row r="2018" spans="1:2">
      <c r="A2018" s="3" t="s">
        <v>4881</v>
      </c>
      <c r="B2018" s="3" t="s">
        <v>4882</v>
      </c>
    </row>
    <row r="2019" spans="1:2">
      <c r="A2019" s="3" t="s">
        <v>4883</v>
      </c>
      <c r="B2019" s="3" t="s">
        <v>4884</v>
      </c>
    </row>
    <row r="2020" spans="1:2">
      <c r="A2020" s="3" t="s">
        <v>4885</v>
      </c>
      <c r="B2020" s="3" t="s">
        <v>4886</v>
      </c>
    </row>
    <row r="2021" spans="1:2">
      <c r="A2021" s="3" t="s">
        <v>4887</v>
      </c>
      <c r="B2021" s="3" t="s">
        <v>4888</v>
      </c>
    </row>
    <row r="2022" spans="1:2">
      <c r="A2022" s="3" t="s">
        <v>4889</v>
      </c>
      <c r="B2022" s="3" t="s">
        <v>4890</v>
      </c>
    </row>
    <row r="2023" spans="1:2">
      <c r="A2023" s="3" t="s">
        <v>4891</v>
      </c>
      <c r="B2023" s="3" t="s">
        <v>4892</v>
      </c>
    </row>
    <row r="2024" spans="1:2">
      <c r="A2024" s="3" t="s">
        <v>4893</v>
      </c>
      <c r="B2024" s="3" t="s">
        <v>4894</v>
      </c>
    </row>
    <row r="2025" spans="1:2">
      <c r="A2025" s="3" t="s">
        <v>4895</v>
      </c>
      <c r="B2025" s="3" t="s">
        <v>4896</v>
      </c>
    </row>
    <row r="2026" spans="1:2">
      <c r="A2026" s="3" t="s">
        <v>4897</v>
      </c>
      <c r="B2026" s="3" t="s">
        <v>4898</v>
      </c>
    </row>
    <row r="2027" spans="1:2">
      <c r="A2027" s="3" t="s">
        <v>4899</v>
      </c>
      <c r="B2027" s="3" t="s">
        <v>4900</v>
      </c>
    </row>
    <row r="2028" spans="1:2">
      <c r="A2028" s="3" t="s">
        <v>4901</v>
      </c>
      <c r="B2028" s="3" t="s">
        <v>4902</v>
      </c>
    </row>
    <row r="2029" spans="1:2">
      <c r="A2029" s="3" t="s">
        <v>4903</v>
      </c>
      <c r="B2029" s="3" t="s">
        <v>4904</v>
      </c>
    </row>
    <row r="2030" spans="1:2">
      <c r="A2030" s="3" t="s">
        <v>4905</v>
      </c>
      <c r="B2030" s="3" t="s">
        <v>4906</v>
      </c>
    </row>
    <row r="2031" spans="1:2">
      <c r="A2031" s="3" t="s">
        <v>4907</v>
      </c>
      <c r="B2031" s="3" t="s">
        <v>4908</v>
      </c>
    </row>
    <row r="2032" spans="1:2">
      <c r="A2032" s="3" t="s">
        <v>4909</v>
      </c>
      <c r="B2032" s="3" t="s">
        <v>4910</v>
      </c>
    </row>
    <row r="2033" spans="1:2">
      <c r="A2033" s="3" t="s">
        <v>4911</v>
      </c>
      <c r="B2033" s="3" t="s">
        <v>4912</v>
      </c>
    </row>
    <row r="2034" spans="1:2">
      <c r="A2034" s="3" t="s">
        <v>4913</v>
      </c>
      <c r="B2034" s="3" t="s">
        <v>4914</v>
      </c>
    </row>
    <row r="2035" spans="1:2">
      <c r="A2035" s="3" t="s">
        <v>4915</v>
      </c>
      <c r="B2035" s="3" t="s">
        <v>4916</v>
      </c>
    </row>
    <row r="2036" spans="1:2">
      <c r="A2036" s="3" t="s">
        <v>4917</v>
      </c>
      <c r="B2036" s="3" t="s">
        <v>4918</v>
      </c>
    </row>
    <row r="2037" spans="1:2">
      <c r="A2037" s="3" t="s">
        <v>4919</v>
      </c>
      <c r="B2037" s="3" t="s">
        <v>4920</v>
      </c>
    </row>
    <row r="2038" spans="1:2">
      <c r="A2038" s="3" t="s">
        <v>4921</v>
      </c>
      <c r="B2038" s="3" t="s">
        <v>4922</v>
      </c>
    </row>
    <row r="2039" spans="1:2">
      <c r="A2039" s="3" t="s">
        <v>4923</v>
      </c>
      <c r="B2039" s="3" t="s">
        <v>4924</v>
      </c>
    </row>
    <row r="2040" spans="1:2">
      <c r="A2040" s="3" t="s">
        <v>4925</v>
      </c>
      <c r="B2040" s="3" t="s">
        <v>4926</v>
      </c>
    </row>
    <row r="2041" spans="1:2">
      <c r="A2041" s="3" t="s">
        <v>4927</v>
      </c>
      <c r="B2041" s="3" t="s">
        <v>4928</v>
      </c>
    </row>
    <row r="2042" spans="1:2">
      <c r="A2042" s="3" t="s">
        <v>4929</v>
      </c>
      <c r="B2042" s="3" t="s">
        <v>4930</v>
      </c>
    </row>
    <row r="2043" spans="1:2">
      <c r="A2043" s="3" t="s">
        <v>4931</v>
      </c>
      <c r="B2043" s="3" t="s">
        <v>4932</v>
      </c>
    </row>
    <row r="2044" spans="1:2">
      <c r="A2044" s="3" t="s">
        <v>4933</v>
      </c>
      <c r="B2044" s="3" t="s">
        <v>4934</v>
      </c>
    </row>
    <row r="2045" spans="1:2">
      <c r="A2045" s="3" t="s">
        <v>4935</v>
      </c>
      <c r="B2045" s="3" t="s">
        <v>4936</v>
      </c>
    </row>
    <row r="2046" spans="1:2">
      <c r="A2046" s="3" t="s">
        <v>4937</v>
      </c>
      <c r="B2046" s="3" t="s">
        <v>4938</v>
      </c>
    </row>
    <row r="2047" spans="1:2">
      <c r="A2047" s="3" t="s">
        <v>4939</v>
      </c>
      <c r="B2047" s="3" t="s">
        <v>4940</v>
      </c>
    </row>
    <row r="2048" spans="1:2">
      <c r="A2048" s="3" t="s">
        <v>4941</v>
      </c>
      <c r="B2048" s="3" t="s">
        <v>4942</v>
      </c>
    </row>
    <row r="2049" spans="1:2">
      <c r="A2049" s="3" t="s">
        <v>4943</v>
      </c>
      <c r="B2049" s="3" t="s">
        <v>4944</v>
      </c>
    </row>
    <row r="2050" spans="1:2">
      <c r="A2050" s="3" t="s">
        <v>4945</v>
      </c>
      <c r="B2050" s="3" t="s">
        <v>4946</v>
      </c>
    </row>
    <row r="2051" spans="1:2">
      <c r="A2051" s="3" t="s">
        <v>4947</v>
      </c>
      <c r="B2051" s="3" t="s">
        <v>4948</v>
      </c>
    </row>
    <row r="2052" spans="1:2">
      <c r="A2052" s="3" t="s">
        <v>4949</v>
      </c>
      <c r="B2052" s="3" t="s">
        <v>4950</v>
      </c>
    </row>
    <row r="2053" spans="1:2">
      <c r="A2053" s="3" t="s">
        <v>4951</v>
      </c>
      <c r="B2053" s="3" t="s">
        <v>4952</v>
      </c>
    </row>
    <row r="2054" spans="1:2">
      <c r="A2054" s="3" t="s">
        <v>4953</v>
      </c>
      <c r="B2054" s="3" t="s">
        <v>4954</v>
      </c>
    </row>
    <row r="2055" spans="1:2">
      <c r="A2055" s="3" t="s">
        <v>4955</v>
      </c>
      <c r="B2055" s="3" t="s">
        <v>4956</v>
      </c>
    </row>
    <row r="2056" spans="1:2">
      <c r="A2056" s="3" t="s">
        <v>4957</v>
      </c>
      <c r="B2056" s="3" t="s">
        <v>4958</v>
      </c>
    </row>
    <row r="2057" spans="1:2">
      <c r="A2057" s="3" t="s">
        <v>4959</v>
      </c>
      <c r="B2057" s="3" t="s">
        <v>4960</v>
      </c>
    </row>
    <row r="2058" spans="1:2">
      <c r="A2058" s="3" t="s">
        <v>4961</v>
      </c>
      <c r="B2058" s="3" t="s">
        <v>4962</v>
      </c>
    </row>
    <row r="2059" spans="1:2">
      <c r="A2059" s="3" t="s">
        <v>4963</v>
      </c>
      <c r="B2059" s="3" t="s">
        <v>4964</v>
      </c>
    </row>
    <row r="2060" spans="1:2">
      <c r="A2060" s="3" t="s">
        <v>4965</v>
      </c>
      <c r="B2060" s="3" t="s">
        <v>4966</v>
      </c>
    </row>
    <row r="2061" spans="1:2">
      <c r="A2061" s="3" t="s">
        <v>4967</v>
      </c>
      <c r="B2061" s="3" t="s">
        <v>4968</v>
      </c>
    </row>
    <row r="2062" spans="1:2">
      <c r="A2062" s="3" t="s">
        <v>4969</v>
      </c>
      <c r="B2062" s="3" t="s">
        <v>4970</v>
      </c>
    </row>
    <row r="2063" spans="1:2">
      <c r="A2063" s="3" t="s">
        <v>4971</v>
      </c>
      <c r="B2063" s="3" t="s">
        <v>4972</v>
      </c>
    </row>
    <row r="2064" spans="1:2">
      <c r="A2064" s="3" t="s">
        <v>4973</v>
      </c>
      <c r="B2064" s="3" t="s">
        <v>4974</v>
      </c>
    </row>
    <row r="2065" spans="1:2">
      <c r="A2065" s="3" t="s">
        <v>4975</v>
      </c>
      <c r="B2065" s="3" t="s">
        <v>4976</v>
      </c>
    </row>
    <row r="2066" spans="1:2">
      <c r="A2066" s="3" t="s">
        <v>4977</v>
      </c>
      <c r="B2066" s="3" t="s">
        <v>4978</v>
      </c>
    </row>
    <row r="2067" spans="1:2">
      <c r="A2067" s="3" t="s">
        <v>4979</v>
      </c>
      <c r="B2067" s="3" t="s">
        <v>4980</v>
      </c>
    </row>
    <row r="2068" spans="1:2">
      <c r="A2068" s="3" t="s">
        <v>4981</v>
      </c>
      <c r="B2068" s="3" t="s">
        <v>4982</v>
      </c>
    </row>
    <row r="2069" spans="1:2">
      <c r="A2069" s="3" t="s">
        <v>4983</v>
      </c>
      <c r="B2069" s="3" t="s">
        <v>4984</v>
      </c>
    </row>
    <row r="2070" spans="1:2">
      <c r="A2070" s="3" t="s">
        <v>4985</v>
      </c>
      <c r="B2070" s="3" t="s">
        <v>4986</v>
      </c>
    </row>
    <row r="2071" spans="1:2">
      <c r="A2071" s="3" t="s">
        <v>4987</v>
      </c>
      <c r="B2071" s="3" t="s">
        <v>4988</v>
      </c>
    </row>
    <row r="2072" spans="1:2">
      <c r="A2072" s="3" t="s">
        <v>4989</v>
      </c>
      <c r="B2072" s="3" t="s">
        <v>4990</v>
      </c>
    </row>
    <row r="2073" spans="1:2">
      <c r="A2073" s="3" t="s">
        <v>4991</v>
      </c>
      <c r="B2073" s="3" t="s">
        <v>4992</v>
      </c>
    </row>
    <row r="2074" spans="1:2">
      <c r="A2074" s="3" t="s">
        <v>4993</v>
      </c>
      <c r="B2074" s="3" t="s">
        <v>4994</v>
      </c>
    </row>
    <row r="2075" spans="1:2">
      <c r="A2075" s="3" t="s">
        <v>4995</v>
      </c>
      <c r="B2075" s="3" t="s">
        <v>4996</v>
      </c>
    </row>
    <row r="2076" spans="1:2">
      <c r="A2076" s="3" t="s">
        <v>4997</v>
      </c>
      <c r="B2076" s="3" t="s">
        <v>4998</v>
      </c>
    </row>
    <row r="2077" spans="1:2">
      <c r="A2077" s="3" t="s">
        <v>4999</v>
      </c>
      <c r="B2077" s="3" t="s">
        <v>5000</v>
      </c>
    </row>
    <row r="2078" spans="1:2">
      <c r="A2078" s="3" t="s">
        <v>5001</v>
      </c>
      <c r="B2078" s="3" t="s">
        <v>5002</v>
      </c>
    </row>
    <row r="2079" spans="1:2">
      <c r="A2079" s="3" t="s">
        <v>5003</v>
      </c>
      <c r="B2079" s="3" t="s">
        <v>5004</v>
      </c>
    </row>
    <row r="2080" spans="1:2">
      <c r="A2080" s="3" t="s">
        <v>5005</v>
      </c>
      <c r="B2080" s="3" t="s">
        <v>5006</v>
      </c>
    </row>
    <row r="2081" spans="1:2">
      <c r="A2081" s="3" t="s">
        <v>5007</v>
      </c>
      <c r="B2081" s="3" t="s">
        <v>5008</v>
      </c>
    </row>
    <row r="2082" spans="1:2">
      <c r="A2082" s="3" t="s">
        <v>5009</v>
      </c>
      <c r="B2082" s="3" t="s">
        <v>5010</v>
      </c>
    </row>
    <row r="2083" spans="1:2">
      <c r="A2083" s="3" t="s">
        <v>5011</v>
      </c>
      <c r="B2083" s="3" t="s">
        <v>5012</v>
      </c>
    </row>
    <row r="2084" spans="1:2">
      <c r="A2084" s="3" t="s">
        <v>5013</v>
      </c>
      <c r="B2084" s="3" t="s">
        <v>5014</v>
      </c>
    </row>
    <row r="2085" spans="1:2">
      <c r="A2085" s="3" t="s">
        <v>5015</v>
      </c>
      <c r="B2085" s="3" t="s">
        <v>5016</v>
      </c>
    </row>
    <row r="2086" spans="1:2">
      <c r="A2086" s="3" t="s">
        <v>5017</v>
      </c>
      <c r="B2086" s="3" t="s">
        <v>5018</v>
      </c>
    </row>
    <row r="2087" spans="1:2">
      <c r="A2087" s="3" t="s">
        <v>5019</v>
      </c>
      <c r="B2087" s="3" t="s">
        <v>5020</v>
      </c>
    </row>
    <row r="2088" spans="1:2">
      <c r="A2088" s="3" t="s">
        <v>5021</v>
      </c>
      <c r="B2088" s="3" t="s">
        <v>5022</v>
      </c>
    </row>
    <row r="2089" spans="1:2">
      <c r="A2089" s="3" t="s">
        <v>5023</v>
      </c>
      <c r="B2089" s="3" t="s">
        <v>5024</v>
      </c>
    </row>
    <row r="2090" spans="1:2">
      <c r="A2090" s="3" t="s">
        <v>5025</v>
      </c>
      <c r="B2090" s="3" t="s">
        <v>5026</v>
      </c>
    </row>
    <row r="2091" spans="1:2">
      <c r="A2091" s="3" t="s">
        <v>5027</v>
      </c>
      <c r="B2091" s="3" t="s">
        <v>5028</v>
      </c>
    </row>
    <row r="2092" spans="1:2">
      <c r="A2092" s="3" t="s">
        <v>5029</v>
      </c>
      <c r="B2092" s="3" t="s">
        <v>5030</v>
      </c>
    </row>
    <row r="2093" spans="1:2">
      <c r="A2093" s="3" t="s">
        <v>5031</v>
      </c>
      <c r="B2093" s="3" t="s">
        <v>5032</v>
      </c>
    </row>
    <row r="2094" spans="1:2">
      <c r="A2094" s="3" t="s">
        <v>5033</v>
      </c>
      <c r="B2094" s="3" t="s">
        <v>5034</v>
      </c>
    </row>
    <row r="2095" spans="1:2">
      <c r="A2095" s="3" t="s">
        <v>5035</v>
      </c>
      <c r="B2095" s="3" t="s">
        <v>5036</v>
      </c>
    </row>
    <row r="2096" spans="1:2">
      <c r="A2096" s="3" t="s">
        <v>5037</v>
      </c>
      <c r="B2096" s="3" t="s">
        <v>5038</v>
      </c>
    </row>
    <row r="2097" spans="1:2">
      <c r="A2097" s="3" t="s">
        <v>5039</v>
      </c>
      <c r="B2097" s="3" t="s">
        <v>5040</v>
      </c>
    </row>
    <row r="2098" spans="1:2">
      <c r="A2098" s="3" t="s">
        <v>5041</v>
      </c>
      <c r="B2098" s="3" t="s">
        <v>5042</v>
      </c>
    </row>
    <row r="2099" spans="1:2">
      <c r="A2099" s="3" t="s">
        <v>5043</v>
      </c>
      <c r="B2099" s="3" t="s">
        <v>5044</v>
      </c>
    </row>
    <row r="2100" spans="1:2">
      <c r="A2100" s="3" t="s">
        <v>5045</v>
      </c>
      <c r="B2100" s="3" t="s">
        <v>5046</v>
      </c>
    </row>
    <row r="2101" spans="1:2">
      <c r="A2101" s="3" t="s">
        <v>5047</v>
      </c>
      <c r="B2101" s="3" t="s">
        <v>5048</v>
      </c>
    </row>
    <row r="2102" spans="1:2">
      <c r="A2102" s="3" t="s">
        <v>5049</v>
      </c>
      <c r="B2102" s="3" t="s">
        <v>5050</v>
      </c>
    </row>
    <row r="2103" spans="1:2">
      <c r="A2103" s="3" t="s">
        <v>5051</v>
      </c>
      <c r="B2103" s="3" t="s">
        <v>5052</v>
      </c>
    </row>
    <row r="2104" spans="1:2">
      <c r="A2104" s="3" t="s">
        <v>5053</v>
      </c>
      <c r="B2104" s="3" t="s">
        <v>5054</v>
      </c>
    </row>
    <row r="2105" spans="1:2">
      <c r="A2105" s="3" t="s">
        <v>5055</v>
      </c>
      <c r="B2105" s="3" t="s">
        <v>5056</v>
      </c>
    </row>
    <row r="2106" spans="1:2">
      <c r="A2106" s="3" t="s">
        <v>5057</v>
      </c>
      <c r="B2106" s="3" t="s">
        <v>5058</v>
      </c>
    </row>
    <row r="2107" spans="1:2">
      <c r="A2107" s="3" t="s">
        <v>5059</v>
      </c>
      <c r="B2107" s="3" t="s">
        <v>5060</v>
      </c>
    </row>
    <row r="2108" spans="1:2">
      <c r="A2108" s="3" t="s">
        <v>5061</v>
      </c>
      <c r="B2108" s="3" t="s">
        <v>5062</v>
      </c>
    </row>
    <row r="2109" spans="1:2">
      <c r="A2109" s="3" t="s">
        <v>5063</v>
      </c>
      <c r="B2109" s="3" t="s">
        <v>5064</v>
      </c>
    </row>
    <row r="2110" spans="1:2">
      <c r="A2110" s="3" t="s">
        <v>5065</v>
      </c>
      <c r="B2110" s="3" t="s">
        <v>5066</v>
      </c>
    </row>
    <row r="2111" spans="1:2">
      <c r="A2111" s="3" t="s">
        <v>5067</v>
      </c>
      <c r="B2111" s="3" t="s">
        <v>5068</v>
      </c>
    </row>
    <row r="2112" spans="1:2">
      <c r="A2112" s="3" t="s">
        <v>5069</v>
      </c>
      <c r="B2112" s="3" t="s">
        <v>5070</v>
      </c>
    </row>
    <row r="2113" spans="1:2">
      <c r="A2113" s="3" t="s">
        <v>5071</v>
      </c>
      <c r="B2113" s="3" t="s">
        <v>5072</v>
      </c>
    </row>
    <row r="2114" spans="1:2">
      <c r="A2114" s="3" t="s">
        <v>5073</v>
      </c>
      <c r="B2114" s="3" t="s">
        <v>5074</v>
      </c>
    </row>
    <row r="2115" spans="1:2">
      <c r="A2115" s="3" t="s">
        <v>5075</v>
      </c>
      <c r="B2115" s="3" t="s">
        <v>5076</v>
      </c>
    </row>
    <row r="2116" spans="1:2">
      <c r="A2116" s="3" t="s">
        <v>5077</v>
      </c>
      <c r="B2116" s="3" t="s">
        <v>5078</v>
      </c>
    </row>
    <row r="2117" spans="1:2">
      <c r="A2117" s="3" t="s">
        <v>5079</v>
      </c>
      <c r="B2117" s="3" t="s">
        <v>5080</v>
      </c>
    </row>
    <row r="2118" spans="1:2">
      <c r="A2118" s="3" t="s">
        <v>5081</v>
      </c>
      <c r="B2118" s="3" t="s">
        <v>5082</v>
      </c>
    </row>
    <row r="2119" spans="1:2">
      <c r="A2119" s="3" t="s">
        <v>5083</v>
      </c>
      <c r="B2119" s="3" t="s">
        <v>5084</v>
      </c>
    </row>
    <row r="2120" spans="1:2">
      <c r="A2120" s="3" t="s">
        <v>5085</v>
      </c>
      <c r="B2120" s="3" t="s">
        <v>5086</v>
      </c>
    </row>
    <row r="2121" spans="1:2">
      <c r="A2121" s="3" t="s">
        <v>5087</v>
      </c>
      <c r="B2121" s="3" t="s">
        <v>5088</v>
      </c>
    </row>
    <row r="2122" spans="1:2">
      <c r="A2122" s="3" t="s">
        <v>5089</v>
      </c>
      <c r="B2122" s="3" t="s">
        <v>5090</v>
      </c>
    </row>
    <row r="2123" spans="1:2">
      <c r="A2123" s="3" t="s">
        <v>5091</v>
      </c>
      <c r="B2123" s="3" t="s">
        <v>5092</v>
      </c>
    </row>
    <row r="2124" spans="1:2">
      <c r="A2124" s="3" t="s">
        <v>5093</v>
      </c>
      <c r="B2124" s="3" t="s">
        <v>5094</v>
      </c>
    </row>
    <row r="2125" spans="1:2">
      <c r="A2125" s="3" t="s">
        <v>5095</v>
      </c>
      <c r="B2125" s="3" t="s">
        <v>5096</v>
      </c>
    </row>
    <row r="2126" spans="1:2">
      <c r="A2126" s="3" t="s">
        <v>5097</v>
      </c>
      <c r="B2126" s="3" t="s">
        <v>5098</v>
      </c>
    </row>
    <row r="2127" spans="1:2">
      <c r="A2127" s="3" t="s">
        <v>5099</v>
      </c>
      <c r="B2127" s="3" t="s">
        <v>5100</v>
      </c>
    </row>
    <row r="2128" spans="1:2">
      <c r="A2128" s="3" t="s">
        <v>5101</v>
      </c>
      <c r="B2128" s="3" t="s">
        <v>5102</v>
      </c>
    </row>
    <row r="2129" spans="1:2">
      <c r="A2129" s="3" t="s">
        <v>5103</v>
      </c>
      <c r="B2129" s="3" t="s">
        <v>5104</v>
      </c>
    </row>
    <row r="2130" spans="1:2">
      <c r="A2130" s="3" t="s">
        <v>5105</v>
      </c>
      <c r="B2130" s="3" t="s">
        <v>5106</v>
      </c>
    </row>
    <row r="2131" spans="1:2">
      <c r="A2131" s="3" t="s">
        <v>5107</v>
      </c>
      <c r="B2131" s="3" t="s">
        <v>5108</v>
      </c>
    </row>
    <row r="2132" spans="1:2">
      <c r="A2132" s="3" t="s">
        <v>5109</v>
      </c>
      <c r="B2132" s="3" t="s">
        <v>5110</v>
      </c>
    </row>
    <row r="2133" spans="1:2">
      <c r="A2133" s="3" t="s">
        <v>5111</v>
      </c>
      <c r="B2133" s="3" t="s">
        <v>5112</v>
      </c>
    </row>
    <row r="2134" spans="1:2">
      <c r="A2134" s="3" t="s">
        <v>5113</v>
      </c>
      <c r="B2134" s="3" t="s">
        <v>5114</v>
      </c>
    </row>
    <row r="2135" spans="1:2">
      <c r="A2135" s="3" t="s">
        <v>5115</v>
      </c>
      <c r="B2135" s="3" t="s">
        <v>5116</v>
      </c>
    </row>
    <row r="2136" spans="1:2">
      <c r="A2136" s="3" t="s">
        <v>5117</v>
      </c>
      <c r="B2136" s="3" t="s">
        <v>5118</v>
      </c>
    </row>
    <row r="2137" spans="1:2">
      <c r="A2137" s="3" t="s">
        <v>5119</v>
      </c>
      <c r="B2137" s="3" t="s">
        <v>5120</v>
      </c>
    </row>
    <row r="2138" spans="1:2">
      <c r="A2138" s="3" t="s">
        <v>5121</v>
      </c>
      <c r="B2138" s="3" t="s">
        <v>5122</v>
      </c>
    </row>
    <row r="2139" spans="1:2">
      <c r="A2139" s="3" t="s">
        <v>5123</v>
      </c>
      <c r="B2139" s="3" t="s">
        <v>5124</v>
      </c>
    </row>
    <row r="2140" spans="1:2">
      <c r="A2140" s="3" t="s">
        <v>5125</v>
      </c>
      <c r="B2140" s="3" t="s">
        <v>5126</v>
      </c>
    </row>
    <row r="2141" spans="1:2">
      <c r="A2141" s="3" t="s">
        <v>5127</v>
      </c>
      <c r="B2141" s="3" t="s">
        <v>5128</v>
      </c>
    </row>
    <row r="2142" spans="1:2">
      <c r="A2142" s="3" t="s">
        <v>5129</v>
      </c>
      <c r="B2142" s="3" t="s">
        <v>5130</v>
      </c>
    </row>
    <row r="2143" spans="1:2">
      <c r="A2143" s="3" t="s">
        <v>5131</v>
      </c>
      <c r="B2143" s="3" t="s">
        <v>5132</v>
      </c>
    </row>
    <row r="2144" spans="1:2">
      <c r="A2144" s="3" t="s">
        <v>5133</v>
      </c>
      <c r="B2144" s="3" t="s">
        <v>5134</v>
      </c>
    </row>
    <row r="2145" spans="1:2">
      <c r="A2145" s="3" t="s">
        <v>5135</v>
      </c>
      <c r="B2145" s="3" t="s">
        <v>5136</v>
      </c>
    </row>
    <row r="2146" spans="1:2">
      <c r="A2146" s="3" t="s">
        <v>5137</v>
      </c>
      <c r="B2146" s="3" t="s">
        <v>5138</v>
      </c>
    </row>
    <row r="2147" spans="1:2">
      <c r="A2147" s="3" t="s">
        <v>5139</v>
      </c>
      <c r="B2147" s="3" t="s">
        <v>5140</v>
      </c>
    </row>
    <row r="2148" spans="1:2">
      <c r="A2148" s="3" t="s">
        <v>5141</v>
      </c>
      <c r="B2148" s="3" t="s">
        <v>5142</v>
      </c>
    </row>
    <row r="2149" spans="1:2">
      <c r="A2149" s="3" t="s">
        <v>5143</v>
      </c>
      <c r="B2149" s="3" t="s">
        <v>5144</v>
      </c>
    </row>
    <row r="2150" spans="1:2">
      <c r="A2150" s="3" t="s">
        <v>5145</v>
      </c>
      <c r="B2150" s="3" t="s">
        <v>5146</v>
      </c>
    </row>
    <row r="2151" spans="1:2">
      <c r="A2151" s="3" t="s">
        <v>5147</v>
      </c>
      <c r="B2151" s="3" t="s">
        <v>5148</v>
      </c>
    </row>
    <row r="2152" spans="1:2">
      <c r="A2152" s="3" t="s">
        <v>5149</v>
      </c>
      <c r="B2152" s="3" t="s">
        <v>5150</v>
      </c>
    </row>
    <row r="2153" spans="1:2">
      <c r="A2153" s="3" t="s">
        <v>5151</v>
      </c>
      <c r="B2153" s="3" t="s">
        <v>5152</v>
      </c>
    </row>
    <row r="2154" spans="1:2">
      <c r="A2154" s="3" t="s">
        <v>5153</v>
      </c>
      <c r="B2154" s="3" t="s">
        <v>5154</v>
      </c>
    </row>
    <row r="2155" spans="1:2">
      <c r="A2155" s="3" t="s">
        <v>5155</v>
      </c>
      <c r="B2155" s="3" t="s">
        <v>5156</v>
      </c>
    </row>
    <row r="2156" spans="1:2">
      <c r="A2156" s="3" t="s">
        <v>5157</v>
      </c>
      <c r="B2156" s="3" t="s">
        <v>5158</v>
      </c>
    </row>
    <row r="2157" spans="1:2">
      <c r="A2157" s="3" t="s">
        <v>5159</v>
      </c>
      <c r="B2157" s="3" t="s">
        <v>5160</v>
      </c>
    </row>
    <row r="2158" spans="1:2">
      <c r="A2158" s="3" t="s">
        <v>5161</v>
      </c>
      <c r="B2158" s="3" t="s">
        <v>5162</v>
      </c>
    </row>
    <row r="2159" spans="1:2">
      <c r="A2159" s="3" t="s">
        <v>5163</v>
      </c>
      <c r="B2159" s="3" t="s">
        <v>5164</v>
      </c>
    </row>
    <row r="2160" spans="1:2">
      <c r="A2160" s="3" t="s">
        <v>5165</v>
      </c>
      <c r="B2160" s="3" t="s">
        <v>5166</v>
      </c>
    </row>
    <row r="2161" spans="1:2">
      <c r="A2161" s="3" t="s">
        <v>5167</v>
      </c>
      <c r="B2161" s="3" t="s">
        <v>5168</v>
      </c>
    </row>
    <row r="2162" spans="1:2">
      <c r="A2162" s="3" t="s">
        <v>5169</v>
      </c>
      <c r="B2162" s="3" t="s">
        <v>5170</v>
      </c>
    </row>
    <row r="2163" spans="1:2">
      <c r="A2163" s="3" t="s">
        <v>5171</v>
      </c>
      <c r="B2163" s="3" t="s">
        <v>5172</v>
      </c>
    </row>
    <row r="2164" spans="1:2">
      <c r="A2164" s="3" t="s">
        <v>5173</v>
      </c>
      <c r="B2164" s="3" t="s">
        <v>5174</v>
      </c>
    </row>
    <row r="2165" spans="1:2">
      <c r="A2165" s="3" t="s">
        <v>5175</v>
      </c>
      <c r="B2165" s="3" t="s">
        <v>5176</v>
      </c>
    </row>
    <row r="2166" spans="1:2">
      <c r="A2166" s="3" t="s">
        <v>5177</v>
      </c>
      <c r="B2166" s="3" t="s">
        <v>5178</v>
      </c>
    </row>
    <row r="2167" spans="1:2">
      <c r="A2167" s="3" t="s">
        <v>5179</v>
      </c>
      <c r="B2167" s="3" t="s">
        <v>5180</v>
      </c>
    </row>
    <row r="2168" spans="1:2">
      <c r="A2168" s="3" t="s">
        <v>5181</v>
      </c>
      <c r="B2168" s="3" t="s">
        <v>5182</v>
      </c>
    </row>
    <row r="2169" spans="1:2">
      <c r="A2169" s="3" t="s">
        <v>5183</v>
      </c>
      <c r="B2169" s="3" t="s">
        <v>5184</v>
      </c>
    </row>
    <row r="2170" spans="1:2">
      <c r="A2170" s="3" t="s">
        <v>5185</v>
      </c>
      <c r="B2170" s="3" t="s">
        <v>5186</v>
      </c>
    </row>
    <row r="2171" spans="1:2">
      <c r="A2171" s="3" t="s">
        <v>5187</v>
      </c>
      <c r="B2171" s="3" t="s">
        <v>5188</v>
      </c>
    </row>
    <row r="2172" spans="1:2">
      <c r="A2172" s="3" t="s">
        <v>5189</v>
      </c>
      <c r="B2172" s="3" t="s">
        <v>5190</v>
      </c>
    </row>
    <row r="2173" spans="1:2">
      <c r="A2173" s="3" t="s">
        <v>5191</v>
      </c>
      <c r="B2173" s="3" t="s">
        <v>5192</v>
      </c>
    </row>
    <row r="2174" spans="1:2">
      <c r="A2174" s="3" t="s">
        <v>5193</v>
      </c>
      <c r="B2174" s="3" t="s">
        <v>5194</v>
      </c>
    </row>
    <row r="2175" spans="1:2">
      <c r="A2175" s="3" t="s">
        <v>5195</v>
      </c>
      <c r="B2175" s="3" t="s">
        <v>5196</v>
      </c>
    </row>
    <row r="2176" spans="1:2">
      <c r="A2176" s="3" t="s">
        <v>5197</v>
      </c>
      <c r="B2176" s="3" t="s">
        <v>5198</v>
      </c>
    </row>
    <row r="2177" spans="1:2">
      <c r="A2177" s="3" t="s">
        <v>5199</v>
      </c>
      <c r="B2177" s="3" t="s">
        <v>5200</v>
      </c>
    </row>
    <row r="2178" spans="1:2">
      <c r="A2178" s="3" t="s">
        <v>5201</v>
      </c>
      <c r="B2178" s="3" t="s">
        <v>5202</v>
      </c>
    </row>
    <row r="2179" spans="1:2">
      <c r="A2179" s="3" t="s">
        <v>5203</v>
      </c>
      <c r="B2179" s="3" t="s">
        <v>5204</v>
      </c>
    </row>
    <row r="2180" spans="1:2">
      <c r="A2180" s="3" t="s">
        <v>5205</v>
      </c>
      <c r="B2180" s="3" t="s">
        <v>5206</v>
      </c>
    </row>
    <row r="2181" spans="1:2">
      <c r="A2181" s="3" t="s">
        <v>5207</v>
      </c>
      <c r="B2181" s="3" t="s">
        <v>5208</v>
      </c>
    </row>
    <row r="2182" spans="1:2">
      <c r="A2182" s="3" t="s">
        <v>5209</v>
      </c>
      <c r="B2182" s="3" t="s">
        <v>5210</v>
      </c>
    </row>
    <row r="2183" spans="1:2">
      <c r="A2183" s="3" t="s">
        <v>5211</v>
      </c>
      <c r="B2183" s="3" t="s">
        <v>5212</v>
      </c>
    </row>
    <row r="2184" spans="1:2">
      <c r="A2184" s="3" t="s">
        <v>5213</v>
      </c>
      <c r="B2184" s="3" t="s">
        <v>5214</v>
      </c>
    </row>
    <row r="2185" spans="1:2">
      <c r="A2185" s="3" t="s">
        <v>5215</v>
      </c>
      <c r="B2185" s="3" t="s">
        <v>5216</v>
      </c>
    </row>
    <row r="2186" spans="1:2">
      <c r="A2186" s="3" t="s">
        <v>5217</v>
      </c>
      <c r="B2186" s="3" t="s">
        <v>5218</v>
      </c>
    </row>
    <row r="2187" spans="1:2">
      <c r="A2187" s="3" t="s">
        <v>5219</v>
      </c>
      <c r="B2187" s="3" t="s">
        <v>5220</v>
      </c>
    </row>
    <row r="2188" spans="1:2">
      <c r="A2188" s="3" t="s">
        <v>5221</v>
      </c>
      <c r="B2188" s="3" t="s">
        <v>5222</v>
      </c>
    </row>
    <row r="2189" spans="1:2">
      <c r="A2189" s="3" t="s">
        <v>5223</v>
      </c>
      <c r="B2189" s="3" t="s">
        <v>5224</v>
      </c>
    </row>
    <row r="2190" spans="1:2">
      <c r="A2190" s="3" t="s">
        <v>5225</v>
      </c>
      <c r="B2190" s="3" t="s">
        <v>5226</v>
      </c>
    </row>
    <row r="2191" spans="1:2">
      <c r="A2191" s="3" t="s">
        <v>5227</v>
      </c>
      <c r="B2191" s="3" t="s">
        <v>5228</v>
      </c>
    </row>
    <row r="2192" spans="1:2">
      <c r="A2192" s="3" t="s">
        <v>5229</v>
      </c>
      <c r="B2192" s="3" t="s">
        <v>5230</v>
      </c>
    </row>
    <row r="2193" spans="1:2">
      <c r="A2193" s="3" t="s">
        <v>5231</v>
      </c>
      <c r="B2193" s="3" t="s">
        <v>5232</v>
      </c>
    </row>
    <row r="2194" spans="1:2">
      <c r="A2194" s="3" t="s">
        <v>5233</v>
      </c>
      <c r="B2194" s="3" t="s">
        <v>5234</v>
      </c>
    </row>
    <row r="2195" spans="1:2">
      <c r="A2195" s="3" t="s">
        <v>5235</v>
      </c>
      <c r="B2195" s="3" t="s">
        <v>5236</v>
      </c>
    </row>
    <row r="2196" spans="1:2">
      <c r="A2196" s="3" t="s">
        <v>5237</v>
      </c>
      <c r="B2196" s="3" t="s">
        <v>5238</v>
      </c>
    </row>
    <row r="2197" spans="1:2">
      <c r="A2197" s="3" t="s">
        <v>5239</v>
      </c>
      <c r="B2197" s="3" t="s">
        <v>5240</v>
      </c>
    </row>
    <row r="2198" spans="1:2">
      <c r="A2198" s="3" t="s">
        <v>5241</v>
      </c>
      <c r="B2198" s="3" t="s">
        <v>5242</v>
      </c>
    </row>
    <row r="2199" spans="1:2">
      <c r="A2199" s="3" t="s">
        <v>5243</v>
      </c>
      <c r="B2199" s="3" t="s">
        <v>5244</v>
      </c>
    </row>
    <row r="2200" spans="1:2">
      <c r="A2200" s="3" t="s">
        <v>5245</v>
      </c>
      <c r="B2200" s="3" t="s">
        <v>5246</v>
      </c>
    </row>
    <row r="2201" spans="1:2">
      <c r="A2201" s="3" t="s">
        <v>5247</v>
      </c>
      <c r="B2201" s="3" t="s">
        <v>5248</v>
      </c>
    </row>
    <row r="2202" spans="1:2">
      <c r="A2202" s="3" t="s">
        <v>5249</v>
      </c>
      <c r="B2202" s="3" t="s">
        <v>5250</v>
      </c>
    </row>
    <row r="2203" spans="1:2">
      <c r="A2203" s="3" t="s">
        <v>5251</v>
      </c>
      <c r="B2203" s="3" t="s">
        <v>5252</v>
      </c>
    </row>
    <row r="2204" spans="1:2">
      <c r="A2204" s="3" t="s">
        <v>5253</v>
      </c>
      <c r="B2204" s="3" t="s">
        <v>5254</v>
      </c>
    </row>
    <row r="2205" spans="1:2">
      <c r="A2205" s="3" t="s">
        <v>5255</v>
      </c>
      <c r="B2205" s="3" t="s">
        <v>5256</v>
      </c>
    </row>
    <row r="2206" spans="1:2">
      <c r="A2206" s="3" t="s">
        <v>5257</v>
      </c>
      <c r="B2206" s="3" t="s">
        <v>5258</v>
      </c>
    </row>
    <row r="2207" spans="1:2">
      <c r="A2207" s="3" t="s">
        <v>5259</v>
      </c>
      <c r="B2207" s="3" t="s">
        <v>5260</v>
      </c>
    </row>
    <row r="2208" spans="1:2">
      <c r="A2208" s="3" t="s">
        <v>5261</v>
      </c>
      <c r="B2208" s="3" t="s">
        <v>5262</v>
      </c>
    </row>
    <row r="2209" spans="1:2">
      <c r="A2209" s="3" t="s">
        <v>5263</v>
      </c>
      <c r="B2209" s="3" t="s">
        <v>5264</v>
      </c>
    </row>
    <row r="2210" spans="1:2">
      <c r="A2210" s="3" t="s">
        <v>5265</v>
      </c>
      <c r="B2210" s="3" t="s">
        <v>5266</v>
      </c>
    </row>
    <row r="2211" spans="1:2">
      <c r="A2211" s="3" t="s">
        <v>5267</v>
      </c>
      <c r="B2211" s="3" t="s">
        <v>5268</v>
      </c>
    </row>
    <row r="2212" spans="1:2">
      <c r="A2212" s="3" t="s">
        <v>5269</v>
      </c>
      <c r="B2212" s="3" t="s">
        <v>5270</v>
      </c>
    </row>
    <row r="2213" spans="1:2">
      <c r="A2213" s="3" t="s">
        <v>5271</v>
      </c>
      <c r="B2213" s="3" t="s">
        <v>5272</v>
      </c>
    </row>
    <row r="2214" spans="1:2">
      <c r="A2214" s="3" t="s">
        <v>5273</v>
      </c>
      <c r="B2214" s="3" t="s">
        <v>5274</v>
      </c>
    </row>
    <row r="2215" spans="1:2">
      <c r="A2215" s="3" t="s">
        <v>5275</v>
      </c>
      <c r="B2215" s="3" t="s">
        <v>5276</v>
      </c>
    </row>
    <row r="2216" spans="1:2">
      <c r="A2216" s="3" t="s">
        <v>5277</v>
      </c>
      <c r="B2216" s="3" t="s">
        <v>5278</v>
      </c>
    </row>
    <row r="2217" spans="1:2">
      <c r="A2217" s="3" t="s">
        <v>5279</v>
      </c>
      <c r="B2217" s="3" t="s">
        <v>5280</v>
      </c>
    </row>
    <row r="2218" spans="1:2">
      <c r="A2218" s="3" t="s">
        <v>5281</v>
      </c>
      <c r="B2218" s="3" t="s">
        <v>5282</v>
      </c>
    </row>
    <row r="2219" spans="1:2">
      <c r="A2219" s="3" t="s">
        <v>5283</v>
      </c>
      <c r="B2219" s="3" t="s">
        <v>5284</v>
      </c>
    </row>
    <row r="2220" spans="1:2">
      <c r="A2220" s="3" t="s">
        <v>5285</v>
      </c>
      <c r="B2220" s="3" t="s">
        <v>5286</v>
      </c>
    </row>
    <row r="2221" spans="1:2">
      <c r="A2221" s="3" t="s">
        <v>5287</v>
      </c>
      <c r="B2221" s="3" t="s">
        <v>5288</v>
      </c>
    </row>
    <row r="2222" spans="1:2">
      <c r="A2222" s="3" t="s">
        <v>5289</v>
      </c>
      <c r="B2222" s="3" t="s">
        <v>5290</v>
      </c>
    </row>
    <row r="2223" spans="1:2">
      <c r="A2223" s="3" t="s">
        <v>5291</v>
      </c>
      <c r="B2223" s="3" t="s">
        <v>5292</v>
      </c>
    </row>
    <row r="2224" spans="1:2">
      <c r="A2224" s="3" t="s">
        <v>5293</v>
      </c>
      <c r="B2224" s="3" t="s">
        <v>5294</v>
      </c>
    </row>
    <row r="2225" spans="1:2">
      <c r="A2225" s="3" t="s">
        <v>5295</v>
      </c>
      <c r="B2225" s="3" t="s">
        <v>5296</v>
      </c>
    </row>
    <row r="2226" spans="1:2">
      <c r="A2226" s="3" t="s">
        <v>5297</v>
      </c>
      <c r="B2226" s="3" t="s">
        <v>5298</v>
      </c>
    </row>
    <row r="2227" spans="1:2">
      <c r="A2227" s="3" t="s">
        <v>5299</v>
      </c>
      <c r="B2227" s="3" t="s">
        <v>5300</v>
      </c>
    </row>
    <row r="2228" spans="1:2">
      <c r="A2228" s="3" t="s">
        <v>5301</v>
      </c>
      <c r="B2228" s="3" t="s">
        <v>5302</v>
      </c>
    </row>
    <row r="2229" spans="1:2">
      <c r="A2229" s="3" t="s">
        <v>5303</v>
      </c>
      <c r="B2229" s="3" t="s">
        <v>5304</v>
      </c>
    </row>
    <row r="2230" spans="1:2">
      <c r="A2230" s="3" t="s">
        <v>5305</v>
      </c>
      <c r="B2230" s="3" t="s">
        <v>5306</v>
      </c>
    </row>
    <row r="2231" spans="1:2">
      <c r="A2231" s="3" t="s">
        <v>5307</v>
      </c>
      <c r="B2231" s="3" t="s">
        <v>5308</v>
      </c>
    </row>
    <row r="2232" spans="1:2">
      <c r="A2232" s="3" t="s">
        <v>5309</v>
      </c>
      <c r="B2232" s="3" t="s">
        <v>5310</v>
      </c>
    </row>
    <row r="2233" spans="1:2">
      <c r="A2233" s="3" t="s">
        <v>5311</v>
      </c>
      <c r="B2233" s="3" t="s">
        <v>5312</v>
      </c>
    </row>
    <row r="2234" spans="1:2">
      <c r="A2234" s="3" t="s">
        <v>5313</v>
      </c>
      <c r="B2234" s="3" t="s">
        <v>5314</v>
      </c>
    </row>
    <row r="2235" spans="1:2">
      <c r="A2235" s="3" t="s">
        <v>5315</v>
      </c>
      <c r="B2235" s="3" t="s">
        <v>5316</v>
      </c>
    </row>
    <row r="2236" spans="1:2">
      <c r="A2236" s="3" t="s">
        <v>5317</v>
      </c>
      <c r="B2236" s="3" t="s">
        <v>5318</v>
      </c>
    </row>
    <row r="2237" spans="1:2">
      <c r="A2237" s="3" t="s">
        <v>5319</v>
      </c>
      <c r="B2237" s="3" t="s">
        <v>5320</v>
      </c>
    </row>
    <row r="2238" spans="1:2">
      <c r="A2238" s="3" t="s">
        <v>5321</v>
      </c>
      <c r="B2238" s="3" t="s">
        <v>5322</v>
      </c>
    </row>
    <row r="2239" spans="1:2">
      <c r="A2239" s="3" t="s">
        <v>5323</v>
      </c>
      <c r="B2239" s="3" t="s">
        <v>5324</v>
      </c>
    </row>
    <row r="2240" spans="1:2">
      <c r="A2240" s="3" t="s">
        <v>5325</v>
      </c>
      <c r="B2240" s="3" t="s">
        <v>5326</v>
      </c>
    </row>
    <row r="2241" spans="1:2">
      <c r="A2241" s="3" t="s">
        <v>5327</v>
      </c>
      <c r="B2241" s="3" t="s">
        <v>5328</v>
      </c>
    </row>
    <row r="2242" spans="1:2">
      <c r="A2242" s="3" t="s">
        <v>5329</v>
      </c>
      <c r="B2242" s="3" t="s">
        <v>5330</v>
      </c>
    </row>
    <row r="2243" spans="1:2">
      <c r="A2243" s="3" t="s">
        <v>5331</v>
      </c>
      <c r="B2243" s="3" t="s">
        <v>5332</v>
      </c>
    </row>
    <row r="2244" spans="1:2">
      <c r="A2244" s="3" t="s">
        <v>5333</v>
      </c>
      <c r="B2244" s="3" t="s">
        <v>5334</v>
      </c>
    </row>
    <row r="2245" spans="1:2">
      <c r="A2245" s="3" t="s">
        <v>5335</v>
      </c>
      <c r="B2245" s="3" t="s">
        <v>5336</v>
      </c>
    </row>
    <row r="2246" spans="1:2">
      <c r="A2246" s="3" t="s">
        <v>5337</v>
      </c>
      <c r="B2246" s="3" t="s">
        <v>5338</v>
      </c>
    </row>
    <row r="2247" spans="1:2">
      <c r="A2247" s="3" t="s">
        <v>5339</v>
      </c>
      <c r="B2247" s="3" t="s">
        <v>5340</v>
      </c>
    </row>
    <row r="2248" spans="1:2">
      <c r="A2248" s="3" t="s">
        <v>5341</v>
      </c>
      <c r="B2248" s="3" t="s">
        <v>5342</v>
      </c>
    </row>
    <row r="2249" spans="1:2">
      <c r="A2249" s="3" t="s">
        <v>5343</v>
      </c>
      <c r="B2249" s="3" t="s">
        <v>5344</v>
      </c>
    </row>
    <row r="2250" spans="1:2">
      <c r="A2250" s="3" t="s">
        <v>5345</v>
      </c>
      <c r="B2250" s="3" t="s">
        <v>5346</v>
      </c>
    </row>
    <row r="2251" spans="1:2">
      <c r="A2251" s="3" t="s">
        <v>5347</v>
      </c>
      <c r="B2251" s="3" t="s">
        <v>5348</v>
      </c>
    </row>
    <row r="2252" spans="1:2">
      <c r="A2252" s="3" t="s">
        <v>5349</v>
      </c>
      <c r="B2252" s="3" t="s">
        <v>5350</v>
      </c>
    </row>
    <row r="2253" spans="1:2">
      <c r="A2253" s="3" t="s">
        <v>5351</v>
      </c>
      <c r="B2253" s="3" t="s">
        <v>5352</v>
      </c>
    </row>
    <row r="2254" spans="1:2">
      <c r="A2254" s="3" t="s">
        <v>5353</v>
      </c>
      <c r="B2254" s="3" t="s">
        <v>5354</v>
      </c>
    </row>
    <row r="2255" spans="1:2">
      <c r="A2255" s="3" t="s">
        <v>5355</v>
      </c>
      <c r="B2255" s="3" t="s">
        <v>5356</v>
      </c>
    </row>
    <row r="2256" spans="1:2">
      <c r="A2256" s="3" t="s">
        <v>5357</v>
      </c>
      <c r="B2256" s="3" t="s">
        <v>5358</v>
      </c>
    </row>
    <row r="2257" spans="1:2">
      <c r="A2257" s="3" t="s">
        <v>5359</v>
      </c>
      <c r="B2257" s="3" t="s">
        <v>5360</v>
      </c>
    </row>
    <row r="2258" spans="1:2">
      <c r="A2258" s="3" t="s">
        <v>5361</v>
      </c>
      <c r="B2258" s="3" t="s">
        <v>5362</v>
      </c>
    </row>
    <row r="2259" spans="1:2">
      <c r="A2259" s="3" t="s">
        <v>5363</v>
      </c>
      <c r="B2259" s="3" t="s">
        <v>5364</v>
      </c>
    </row>
    <row r="2260" spans="1:2">
      <c r="A2260" s="3" t="s">
        <v>5365</v>
      </c>
      <c r="B2260" s="3" t="s">
        <v>5366</v>
      </c>
    </row>
    <row r="2261" spans="1:2">
      <c r="A2261" s="3" t="s">
        <v>5367</v>
      </c>
      <c r="B2261" s="3" t="s">
        <v>5368</v>
      </c>
    </row>
    <row r="2262" spans="1:2">
      <c r="A2262" s="3" t="s">
        <v>5369</v>
      </c>
      <c r="B2262" s="3" t="s">
        <v>5370</v>
      </c>
    </row>
    <row r="2263" spans="1:2">
      <c r="A2263" s="3" t="s">
        <v>5371</v>
      </c>
      <c r="B2263" s="3" t="s">
        <v>5372</v>
      </c>
    </row>
    <row r="2264" spans="1:2">
      <c r="A2264" s="3" t="s">
        <v>5373</v>
      </c>
      <c r="B2264" s="3" t="s">
        <v>5374</v>
      </c>
    </row>
    <row r="2265" spans="1:2">
      <c r="A2265" s="3" t="s">
        <v>5375</v>
      </c>
      <c r="B2265" s="3" t="s">
        <v>5376</v>
      </c>
    </row>
    <row r="2266" spans="1:2">
      <c r="A2266" s="3" t="s">
        <v>5377</v>
      </c>
      <c r="B2266" s="3" t="s">
        <v>5378</v>
      </c>
    </row>
    <row r="2267" spans="1:2">
      <c r="A2267" s="3" t="s">
        <v>5379</v>
      </c>
      <c r="B2267" s="3" t="s">
        <v>5380</v>
      </c>
    </row>
    <row r="2268" spans="1:2">
      <c r="A2268" s="3" t="s">
        <v>5381</v>
      </c>
      <c r="B2268" s="3" t="s">
        <v>5382</v>
      </c>
    </row>
    <row r="2269" spans="1:2">
      <c r="A2269" s="3" t="s">
        <v>5383</v>
      </c>
      <c r="B2269" s="3" t="s">
        <v>5384</v>
      </c>
    </row>
    <row r="2270" spans="1:2">
      <c r="A2270" s="3" t="s">
        <v>5385</v>
      </c>
      <c r="B2270" s="3" t="s">
        <v>5386</v>
      </c>
    </row>
    <row r="2271" spans="1:2">
      <c r="A2271" s="3" t="s">
        <v>5387</v>
      </c>
      <c r="B2271" s="3" t="s">
        <v>5388</v>
      </c>
    </row>
    <row r="2272" spans="1:2">
      <c r="A2272" s="3" t="s">
        <v>5389</v>
      </c>
      <c r="B2272" s="3" t="s">
        <v>5390</v>
      </c>
    </row>
    <row r="2273" spans="1:2">
      <c r="A2273" s="3" t="s">
        <v>5391</v>
      </c>
      <c r="B2273" s="3" t="s">
        <v>5392</v>
      </c>
    </row>
    <row r="2274" spans="1:2">
      <c r="A2274" s="3" t="s">
        <v>5393</v>
      </c>
      <c r="B2274" s="3" t="s">
        <v>5394</v>
      </c>
    </row>
    <row r="2275" spans="1:2">
      <c r="A2275" s="3" t="s">
        <v>5395</v>
      </c>
      <c r="B2275" s="3" t="s">
        <v>5396</v>
      </c>
    </row>
    <row r="2276" spans="1:2">
      <c r="A2276" s="3" t="s">
        <v>5397</v>
      </c>
      <c r="B2276" s="3" t="s">
        <v>5398</v>
      </c>
    </row>
    <row r="2277" spans="1:2">
      <c r="A2277" s="3" t="s">
        <v>5399</v>
      </c>
      <c r="B2277" s="3" t="s">
        <v>5400</v>
      </c>
    </row>
    <row r="2278" spans="1:2">
      <c r="A2278" s="3" t="s">
        <v>5401</v>
      </c>
      <c r="B2278" s="3" t="s">
        <v>4167</v>
      </c>
    </row>
    <row r="2279" spans="1:2">
      <c r="A2279" s="3" t="s">
        <v>5402</v>
      </c>
      <c r="B2279" s="3" t="s">
        <v>5403</v>
      </c>
    </row>
    <row r="2280" spans="1:2">
      <c r="A2280" s="3" t="s">
        <v>5404</v>
      </c>
      <c r="B2280" s="3" t="s">
        <v>5405</v>
      </c>
    </row>
    <row r="2281" spans="1:2">
      <c r="A2281" s="3" t="s">
        <v>5406</v>
      </c>
      <c r="B2281" s="3" t="s">
        <v>2471</v>
      </c>
    </row>
    <row r="2282" spans="1:2">
      <c r="A2282" s="3" t="s">
        <v>5407</v>
      </c>
      <c r="B2282" s="3" t="s">
        <v>5408</v>
      </c>
    </row>
    <row r="2283" spans="1:2">
      <c r="A2283" s="3" t="s">
        <v>5409</v>
      </c>
      <c r="B2283" s="3" t="s">
        <v>5410</v>
      </c>
    </row>
    <row r="2284" spans="1:2">
      <c r="A2284" s="3" t="s">
        <v>5411</v>
      </c>
      <c r="B2284" s="3" t="s">
        <v>5412</v>
      </c>
    </row>
    <row r="2285" spans="1:2">
      <c r="A2285" s="3" t="s">
        <v>5413</v>
      </c>
      <c r="B2285" s="3" t="s">
        <v>5414</v>
      </c>
    </row>
    <row r="2286" spans="1:2">
      <c r="A2286" s="3" t="s">
        <v>5415</v>
      </c>
      <c r="B2286" s="3" t="s">
        <v>5416</v>
      </c>
    </row>
    <row r="2287" spans="1:2">
      <c r="A2287" s="3" t="s">
        <v>5417</v>
      </c>
      <c r="B2287" s="3" t="s">
        <v>5418</v>
      </c>
    </row>
    <row r="2288" spans="1:2">
      <c r="A2288" s="3" t="s">
        <v>5419</v>
      </c>
      <c r="B2288" s="3" t="s">
        <v>5420</v>
      </c>
    </row>
    <row r="2289" spans="1:2">
      <c r="A2289" s="3" t="s">
        <v>5421</v>
      </c>
      <c r="B2289" s="3" t="s">
        <v>5422</v>
      </c>
    </row>
    <row r="2290" spans="1:2">
      <c r="A2290" s="3" t="s">
        <v>5423</v>
      </c>
      <c r="B2290" s="3" t="s">
        <v>5424</v>
      </c>
    </row>
    <row r="2291" spans="1:2">
      <c r="A2291" s="3" t="s">
        <v>5425</v>
      </c>
      <c r="B2291" s="3" t="s">
        <v>5426</v>
      </c>
    </row>
    <row r="2292" spans="1:2">
      <c r="A2292" s="3" t="s">
        <v>5427</v>
      </c>
      <c r="B2292" s="3" t="s">
        <v>5428</v>
      </c>
    </row>
    <row r="2293" spans="1:2">
      <c r="A2293" s="3" t="s">
        <v>5429</v>
      </c>
      <c r="B2293" s="3" t="s">
        <v>5430</v>
      </c>
    </row>
    <row r="2294" spans="1:2">
      <c r="A2294" s="3" t="s">
        <v>5431</v>
      </c>
      <c r="B2294" s="3" t="s">
        <v>5432</v>
      </c>
    </row>
    <row r="2295" spans="1:2">
      <c r="A2295" s="3" t="s">
        <v>5433</v>
      </c>
      <c r="B2295" s="3" t="s">
        <v>5434</v>
      </c>
    </row>
    <row r="2296" spans="1:2">
      <c r="A2296" s="3" t="s">
        <v>5435</v>
      </c>
      <c r="B2296" s="3" t="s">
        <v>5436</v>
      </c>
    </row>
    <row r="2297" spans="1:2">
      <c r="A2297" s="3" t="s">
        <v>5437</v>
      </c>
      <c r="B2297" s="3" t="s">
        <v>5438</v>
      </c>
    </row>
    <row r="2298" spans="1:2">
      <c r="A2298" s="3" t="s">
        <v>5439</v>
      </c>
      <c r="B2298" s="3" t="s">
        <v>5440</v>
      </c>
    </row>
    <row r="2299" spans="1:2">
      <c r="A2299" s="3" t="s">
        <v>5441</v>
      </c>
      <c r="B2299" s="3" t="s">
        <v>5442</v>
      </c>
    </row>
    <row r="2300" spans="1:2">
      <c r="A2300" s="3" t="s">
        <v>5443</v>
      </c>
      <c r="B2300" s="3" t="s">
        <v>5444</v>
      </c>
    </row>
    <row r="2301" spans="1:2">
      <c r="A2301" s="3" t="s">
        <v>5445</v>
      </c>
      <c r="B2301" s="3" t="s">
        <v>5446</v>
      </c>
    </row>
    <row r="2302" spans="1:2">
      <c r="A2302" s="3" t="s">
        <v>5447</v>
      </c>
      <c r="B2302" s="3" t="s">
        <v>5448</v>
      </c>
    </row>
    <row r="2303" spans="1:2">
      <c r="A2303" s="3" t="s">
        <v>5449</v>
      </c>
      <c r="B2303" s="3" t="s">
        <v>5450</v>
      </c>
    </row>
    <row r="2304" spans="1:2">
      <c r="A2304" s="3" t="s">
        <v>5451</v>
      </c>
      <c r="B2304" s="3" t="s">
        <v>5452</v>
      </c>
    </row>
    <row r="2305" spans="1:2">
      <c r="A2305" s="3" t="s">
        <v>5453</v>
      </c>
      <c r="B2305" s="3" t="s">
        <v>5454</v>
      </c>
    </row>
    <row r="2306" spans="1:2">
      <c r="A2306" s="3" t="s">
        <v>5455</v>
      </c>
      <c r="B2306" s="3" t="s">
        <v>5456</v>
      </c>
    </row>
    <row r="2307" spans="1:2">
      <c r="A2307" s="3" t="s">
        <v>5457</v>
      </c>
      <c r="B2307" s="3" t="s">
        <v>5458</v>
      </c>
    </row>
    <row r="2308" spans="1:2">
      <c r="A2308" s="3" t="s">
        <v>5459</v>
      </c>
      <c r="B2308" s="3" t="s">
        <v>5460</v>
      </c>
    </row>
    <row r="2309" spans="1:2">
      <c r="A2309" s="3" t="s">
        <v>5461</v>
      </c>
      <c r="B2309" s="3" t="s">
        <v>5462</v>
      </c>
    </row>
    <row r="2310" spans="1:2">
      <c r="A2310" s="3" t="s">
        <v>5463</v>
      </c>
      <c r="B2310" s="3" t="s">
        <v>5464</v>
      </c>
    </row>
    <row r="2311" spans="1:2">
      <c r="A2311" s="3" t="s">
        <v>5465</v>
      </c>
      <c r="B2311" s="3" t="s">
        <v>5466</v>
      </c>
    </row>
    <row r="2312" spans="1:2">
      <c r="A2312" s="3" t="s">
        <v>5467</v>
      </c>
      <c r="B2312" s="3" t="s">
        <v>5468</v>
      </c>
    </row>
    <row r="2313" spans="1:2">
      <c r="A2313" s="3" t="s">
        <v>5469</v>
      </c>
      <c r="B2313" s="3" t="s">
        <v>5470</v>
      </c>
    </row>
    <row r="2314" spans="1:2">
      <c r="A2314" s="3" t="s">
        <v>5471</v>
      </c>
      <c r="B2314" s="3" t="s">
        <v>5472</v>
      </c>
    </row>
    <row r="2315" spans="1:2">
      <c r="A2315" s="3" t="s">
        <v>5473</v>
      </c>
      <c r="B2315" s="3" t="s">
        <v>5474</v>
      </c>
    </row>
    <row r="2316" spans="1:2">
      <c r="A2316" s="3" t="s">
        <v>5475</v>
      </c>
      <c r="B2316" s="3" t="s">
        <v>5476</v>
      </c>
    </row>
    <row r="2317" spans="1:2">
      <c r="A2317" s="3" t="s">
        <v>5477</v>
      </c>
      <c r="B2317" s="3" t="s">
        <v>5478</v>
      </c>
    </row>
    <row r="2318" spans="1:2">
      <c r="A2318" s="3" t="s">
        <v>5479</v>
      </c>
      <c r="B2318" s="3" t="s">
        <v>5480</v>
      </c>
    </row>
    <row r="2319" spans="1:2">
      <c r="A2319" s="3" t="s">
        <v>5481</v>
      </c>
      <c r="B2319" s="3" t="s">
        <v>5482</v>
      </c>
    </row>
    <row r="2320" spans="1:2">
      <c r="A2320" s="3" t="s">
        <v>5483</v>
      </c>
      <c r="B2320" s="3" t="s">
        <v>5484</v>
      </c>
    </row>
    <row r="2321" spans="1:2">
      <c r="A2321" s="3" t="s">
        <v>5485</v>
      </c>
      <c r="B2321" s="3" t="s">
        <v>5486</v>
      </c>
    </row>
    <row r="2322" spans="1:2">
      <c r="A2322" s="3" t="s">
        <v>5487</v>
      </c>
      <c r="B2322" s="3" t="s">
        <v>5488</v>
      </c>
    </row>
    <row r="2323" spans="1:2">
      <c r="A2323" s="3" t="s">
        <v>5489</v>
      </c>
      <c r="B2323" s="3" t="s">
        <v>5490</v>
      </c>
    </row>
    <row r="2324" spans="1:2">
      <c r="A2324" s="3" t="s">
        <v>5491</v>
      </c>
      <c r="B2324" s="3" t="s">
        <v>5492</v>
      </c>
    </row>
    <row r="2325" spans="1:2">
      <c r="A2325" s="3" t="s">
        <v>5493</v>
      </c>
      <c r="B2325" s="3" t="s">
        <v>5494</v>
      </c>
    </row>
    <row r="2326" spans="1:2">
      <c r="A2326" s="3" t="s">
        <v>5495</v>
      </c>
      <c r="B2326" s="3" t="s">
        <v>5496</v>
      </c>
    </row>
    <row r="2327" spans="1:2">
      <c r="A2327" s="3" t="s">
        <v>5497</v>
      </c>
      <c r="B2327" s="3" t="s">
        <v>5498</v>
      </c>
    </row>
    <row r="2328" spans="1:2">
      <c r="A2328" s="3" t="s">
        <v>5499</v>
      </c>
      <c r="B2328" s="3" t="s">
        <v>5500</v>
      </c>
    </row>
    <row r="2329" spans="1:2">
      <c r="A2329" s="3" t="s">
        <v>5501</v>
      </c>
      <c r="B2329" s="3" t="s">
        <v>5502</v>
      </c>
    </row>
    <row r="2330" spans="1:2">
      <c r="A2330" s="3" t="s">
        <v>5503</v>
      </c>
      <c r="B2330" s="3" t="s">
        <v>5504</v>
      </c>
    </row>
    <row r="2331" spans="1:2">
      <c r="A2331" s="3" t="s">
        <v>5505</v>
      </c>
      <c r="B2331" s="3" t="s">
        <v>5506</v>
      </c>
    </row>
    <row r="2332" spans="1:2">
      <c r="A2332" s="3" t="s">
        <v>5507</v>
      </c>
      <c r="B2332" s="3" t="s">
        <v>5508</v>
      </c>
    </row>
    <row r="2333" spans="1:2">
      <c r="A2333" s="3" t="s">
        <v>5509</v>
      </c>
      <c r="B2333" s="3" t="s">
        <v>5510</v>
      </c>
    </row>
    <row r="2334" spans="1:2">
      <c r="A2334" s="3" t="s">
        <v>5511</v>
      </c>
      <c r="B2334" s="3" t="s">
        <v>5512</v>
      </c>
    </row>
    <row r="2335" spans="1:2">
      <c r="A2335" s="3" t="s">
        <v>5513</v>
      </c>
      <c r="B2335" s="3" t="s">
        <v>5514</v>
      </c>
    </row>
    <row r="2336" spans="1:2">
      <c r="A2336" s="3" t="s">
        <v>5515</v>
      </c>
      <c r="B2336" s="3" t="s">
        <v>5516</v>
      </c>
    </row>
    <row r="2337" spans="1:2">
      <c r="A2337" s="3" t="s">
        <v>5517</v>
      </c>
      <c r="B2337" s="3" t="s">
        <v>5518</v>
      </c>
    </row>
    <row r="2338" spans="1:2">
      <c r="A2338" s="3" t="s">
        <v>5519</v>
      </c>
      <c r="B2338" s="3" t="s">
        <v>5520</v>
      </c>
    </row>
    <row r="2339" spans="1:2">
      <c r="A2339" s="3" t="s">
        <v>5521</v>
      </c>
      <c r="B2339" s="3" t="s">
        <v>5522</v>
      </c>
    </row>
    <row r="2340" spans="1:2">
      <c r="A2340" s="3" t="s">
        <v>5523</v>
      </c>
      <c r="B2340" s="3" t="s">
        <v>5524</v>
      </c>
    </row>
    <row r="2341" spans="1:2">
      <c r="A2341" s="3" t="s">
        <v>5525</v>
      </c>
      <c r="B2341" s="3" t="s">
        <v>5526</v>
      </c>
    </row>
    <row r="2342" spans="1:2">
      <c r="A2342" s="3" t="s">
        <v>5527</v>
      </c>
      <c r="B2342" s="3" t="s">
        <v>5528</v>
      </c>
    </row>
    <row r="2343" spans="1:2">
      <c r="A2343" s="3" t="s">
        <v>5529</v>
      </c>
      <c r="B2343" s="3" t="s">
        <v>5530</v>
      </c>
    </row>
    <row r="2344" spans="1:2">
      <c r="A2344" s="3" t="s">
        <v>5531</v>
      </c>
      <c r="B2344" s="3" t="s">
        <v>5532</v>
      </c>
    </row>
    <row r="2345" spans="1:2">
      <c r="A2345" s="3" t="s">
        <v>5533</v>
      </c>
      <c r="B2345" s="3" t="s">
        <v>5534</v>
      </c>
    </row>
    <row r="2346" spans="1:2">
      <c r="A2346" s="3" t="s">
        <v>5535</v>
      </c>
      <c r="B2346" s="3" t="s">
        <v>5536</v>
      </c>
    </row>
    <row r="2347" spans="1:2">
      <c r="A2347" s="3" t="s">
        <v>5537</v>
      </c>
      <c r="B2347" s="3" t="s">
        <v>5538</v>
      </c>
    </row>
    <row r="2348" spans="1:2">
      <c r="A2348" s="3" t="s">
        <v>5539</v>
      </c>
      <c r="B2348" s="3" t="s">
        <v>5540</v>
      </c>
    </row>
    <row r="2349" spans="1:2">
      <c r="A2349" s="3" t="s">
        <v>5541</v>
      </c>
      <c r="B2349" s="3" t="s">
        <v>5542</v>
      </c>
    </row>
    <row r="2350" spans="1:2">
      <c r="A2350" s="3" t="s">
        <v>5543</v>
      </c>
      <c r="B2350" s="3" t="s">
        <v>5544</v>
      </c>
    </row>
    <row r="2351" spans="1:2">
      <c r="A2351" s="3" t="s">
        <v>5545</v>
      </c>
      <c r="B2351" s="3" t="s">
        <v>5546</v>
      </c>
    </row>
    <row r="2352" spans="1:2">
      <c r="A2352" s="3" t="s">
        <v>5547</v>
      </c>
      <c r="B2352" s="3" t="s">
        <v>5548</v>
      </c>
    </row>
    <row r="2353" spans="1:2">
      <c r="A2353" s="3" t="s">
        <v>5549</v>
      </c>
      <c r="B2353" s="3" t="s">
        <v>5550</v>
      </c>
    </row>
    <row r="2354" spans="1:2">
      <c r="A2354" s="3" t="s">
        <v>5551</v>
      </c>
      <c r="B2354" s="3" t="s">
        <v>5552</v>
      </c>
    </row>
    <row r="2355" spans="1:2">
      <c r="A2355" s="3" t="s">
        <v>5553</v>
      </c>
      <c r="B2355" s="3" t="s">
        <v>5554</v>
      </c>
    </row>
    <row r="2356" spans="1:2">
      <c r="A2356" s="3" t="s">
        <v>5555</v>
      </c>
      <c r="B2356" s="3" t="s">
        <v>5556</v>
      </c>
    </row>
    <row r="2357" spans="1:2">
      <c r="A2357" s="3" t="s">
        <v>5557</v>
      </c>
      <c r="B2357" s="3" t="s">
        <v>5558</v>
      </c>
    </row>
    <row r="2358" spans="1:2">
      <c r="A2358" s="3" t="s">
        <v>5559</v>
      </c>
      <c r="B2358" s="3" t="s">
        <v>5560</v>
      </c>
    </row>
    <row r="2359" spans="1:2">
      <c r="A2359" s="3" t="s">
        <v>5561</v>
      </c>
      <c r="B2359" s="3" t="s">
        <v>5562</v>
      </c>
    </row>
    <row r="2360" spans="1:2">
      <c r="A2360" s="3" t="s">
        <v>5563</v>
      </c>
      <c r="B2360" s="3" t="s">
        <v>5564</v>
      </c>
    </row>
    <row r="2361" spans="1:2">
      <c r="A2361" s="3" t="s">
        <v>5565</v>
      </c>
      <c r="B2361" s="3" t="s">
        <v>5566</v>
      </c>
    </row>
    <row r="2362" spans="1:2">
      <c r="A2362" s="3" t="s">
        <v>5567</v>
      </c>
      <c r="B2362" s="3" t="s">
        <v>5568</v>
      </c>
    </row>
    <row r="2363" spans="1:2">
      <c r="A2363" s="3" t="s">
        <v>5569</v>
      </c>
      <c r="B2363" s="3" t="s">
        <v>5570</v>
      </c>
    </row>
    <row r="2364" spans="1:2">
      <c r="A2364" s="3" t="s">
        <v>5571</v>
      </c>
      <c r="B2364" s="3" t="s">
        <v>5572</v>
      </c>
    </row>
    <row r="2365" spans="1:2">
      <c r="A2365" s="3" t="s">
        <v>5573</v>
      </c>
      <c r="B2365" s="3" t="s">
        <v>5574</v>
      </c>
    </row>
    <row r="2366" spans="1:2">
      <c r="A2366" s="3" t="s">
        <v>5575</v>
      </c>
      <c r="B2366" s="3" t="s">
        <v>5576</v>
      </c>
    </row>
    <row r="2367" spans="1:2">
      <c r="A2367" s="3" t="s">
        <v>5577</v>
      </c>
      <c r="B2367" s="3" t="s">
        <v>5578</v>
      </c>
    </row>
    <row r="2368" spans="1:2">
      <c r="A2368" s="3" t="s">
        <v>5579</v>
      </c>
      <c r="B2368" s="3" t="s">
        <v>5580</v>
      </c>
    </row>
    <row r="2369" spans="1:2">
      <c r="A2369" s="3" t="s">
        <v>5581</v>
      </c>
      <c r="B2369" s="3" t="s">
        <v>5582</v>
      </c>
    </row>
    <row r="2370" spans="1:2">
      <c r="A2370" s="3" t="s">
        <v>5583</v>
      </c>
      <c r="B2370" s="3" t="s">
        <v>5584</v>
      </c>
    </row>
    <row r="2371" spans="1:2">
      <c r="A2371" s="3" t="s">
        <v>5585</v>
      </c>
      <c r="B2371" s="3" t="s">
        <v>5586</v>
      </c>
    </row>
    <row r="2372" spans="1:2">
      <c r="A2372" s="3" t="s">
        <v>5587</v>
      </c>
      <c r="B2372" s="3" t="s">
        <v>5588</v>
      </c>
    </row>
    <row r="2373" spans="1:2">
      <c r="A2373" s="3" t="s">
        <v>5589</v>
      </c>
      <c r="B2373" s="3" t="s">
        <v>5590</v>
      </c>
    </row>
    <row r="2374" spans="1:2">
      <c r="A2374" s="3" t="s">
        <v>5591</v>
      </c>
      <c r="B2374" s="3" t="s">
        <v>5592</v>
      </c>
    </row>
    <row r="2375" spans="1:2">
      <c r="A2375" s="3" t="s">
        <v>5593</v>
      </c>
      <c r="B2375" s="3" t="s">
        <v>5594</v>
      </c>
    </row>
    <row r="2376" spans="1:2">
      <c r="A2376" s="3" t="s">
        <v>5595</v>
      </c>
      <c r="B2376" s="3" t="s">
        <v>5596</v>
      </c>
    </row>
    <row r="2377" spans="1:2">
      <c r="A2377" s="3" t="s">
        <v>5597</v>
      </c>
      <c r="B2377" s="3" t="s">
        <v>5598</v>
      </c>
    </row>
    <row r="2378" spans="1:2">
      <c r="A2378" s="3" t="s">
        <v>5599</v>
      </c>
      <c r="B2378" s="3" t="s">
        <v>5600</v>
      </c>
    </row>
    <row r="2379" spans="1:2">
      <c r="A2379" s="3" t="s">
        <v>5601</v>
      </c>
      <c r="B2379" s="3" t="s">
        <v>5602</v>
      </c>
    </row>
    <row r="2380" spans="1:2">
      <c r="A2380" s="3" t="s">
        <v>5603</v>
      </c>
      <c r="B2380" s="3" t="s">
        <v>5604</v>
      </c>
    </row>
    <row r="2381" spans="1:2">
      <c r="A2381" s="3" t="s">
        <v>5605</v>
      </c>
      <c r="B2381" s="3" t="s">
        <v>5606</v>
      </c>
    </row>
    <row r="2382" spans="1:2">
      <c r="A2382" s="3" t="s">
        <v>5607</v>
      </c>
      <c r="B2382" s="3" t="s">
        <v>5608</v>
      </c>
    </row>
    <row r="2383" spans="1:2">
      <c r="A2383" s="3" t="s">
        <v>5609</v>
      </c>
      <c r="B2383" s="3" t="s">
        <v>5610</v>
      </c>
    </row>
    <row r="2384" spans="1:2">
      <c r="A2384" s="3" t="s">
        <v>5611</v>
      </c>
      <c r="B2384" s="3" t="s">
        <v>5612</v>
      </c>
    </row>
    <row r="2385" spans="1:2">
      <c r="A2385" s="3" t="s">
        <v>5613</v>
      </c>
      <c r="B2385" s="3" t="s">
        <v>5614</v>
      </c>
    </row>
    <row r="2386" spans="1:2">
      <c r="A2386" s="3" t="s">
        <v>5615</v>
      </c>
      <c r="B2386" s="3" t="s">
        <v>5616</v>
      </c>
    </row>
    <row r="2387" spans="1:2">
      <c r="A2387" s="3" t="s">
        <v>5617</v>
      </c>
      <c r="B2387" s="3" t="s">
        <v>5618</v>
      </c>
    </row>
    <row r="2388" spans="1:2">
      <c r="A2388" s="3" t="s">
        <v>5619</v>
      </c>
      <c r="B2388" s="3" t="s">
        <v>5620</v>
      </c>
    </row>
    <row r="2389" spans="1:2">
      <c r="A2389" s="3" t="s">
        <v>5621</v>
      </c>
      <c r="B2389" s="3" t="s">
        <v>5622</v>
      </c>
    </row>
    <row r="2390" spans="1:2">
      <c r="A2390" s="3" t="s">
        <v>5623</v>
      </c>
      <c r="B2390" s="3" t="s">
        <v>5624</v>
      </c>
    </row>
    <row r="2391" spans="1:2">
      <c r="A2391" s="3" t="s">
        <v>5625</v>
      </c>
      <c r="B2391" s="3" t="s">
        <v>5626</v>
      </c>
    </row>
    <row r="2392" spans="1:2">
      <c r="A2392" s="3" t="s">
        <v>5627</v>
      </c>
      <c r="B2392" s="3" t="s">
        <v>5628</v>
      </c>
    </row>
    <row r="2393" spans="1:2">
      <c r="A2393" s="3" t="s">
        <v>5629</v>
      </c>
      <c r="B2393" s="3" t="s">
        <v>5630</v>
      </c>
    </row>
    <row r="2394" spans="1:2">
      <c r="A2394" s="3" t="s">
        <v>5631</v>
      </c>
      <c r="B2394" s="3" t="s">
        <v>5632</v>
      </c>
    </row>
    <row r="2395" spans="1:2">
      <c r="A2395" s="3" t="s">
        <v>5633</v>
      </c>
      <c r="B2395" s="3" t="s">
        <v>5634</v>
      </c>
    </row>
    <row r="2396" spans="1:2">
      <c r="A2396" s="3" t="s">
        <v>5635</v>
      </c>
      <c r="B2396" s="3" t="s">
        <v>5636</v>
      </c>
    </row>
    <row r="2397" spans="1:2">
      <c r="A2397" s="3" t="s">
        <v>5637</v>
      </c>
      <c r="B2397" s="3" t="s">
        <v>5638</v>
      </c>
    </row>
    <row r="2398" spans="1:2">
      <c r="A2398" s="3" t="s">
        <v>5639</v>
      </c>
      <c r="B2398" s="3" t="s">
        <v>5640</v>
      </c>
    </row>
    <row r="2399" spans="1:2">
      <c r="A2399" s="3" t="s">
        <v>5641</v>
      </c>
      <c r="B2399" s="3" t="s">
        <v>5642</v>
      </c>
    </row>
    <row r="2400" spans="1:2">
      <c r="A2400" s="3" t="s">
        <v>5643</v>
      </c>
      <c r="B2400" s="3" t="s">
        <v>5518</v>
      </c>
    </row>
    <row r="2401" spans="1:2">
      <c r="A2401" s="3" t="s">
        <v>5644</v>
      </c>
      <c r="B2401" s="3" t="s">
        <v>5645</v>
      </c>
    </row>
    <row r="2402" spans="1:2">
      <c r="A2402" s="3" t="s">
        <v>5646</v>
      </c>
      <c r="B2402" s="3" t="s">
        <v>5647</v>
      </c>
    </row>
    <row r="2403" spans="1:2">
      <c r="A2403" s="3" t="s">
        <v>5648</v>
      </c>
      <c r="B2403" s="3" t="s">
        <v>5649</v>
      </c>
    </row>
    <row r="2404" spans="1:2">
      <c r="A2404" s="3" t="s">
        <v>5650</v>
      </c>
      <c r="B2404" s="3" t="s">
        <v>5651</v>
      </c>
    </row>
    <row r="2405" spans="1:2">
      <c r="A2405" s="3" t="s">
        <v>5652</v>
      </c>
      <c r="B2405" s="3" t="s">
        <v>5653</v>
      </c>
    </row>
    <row r="2406" spans="1:2">
      <c r="A2406" s="3" t="s">
        <v>5654</v>
      </c>
      <c r="B2406" s="3" t="s">
        <v>5655</v>
      </c>
    </row>
    <row r="2407" spans="1:2">
      <c r="A2407" s="3" t="s">
        <v>5656</v>
      </c>
      <c r="B2407" s="3" t="s">
        <v>5657</v>
      </c>
    </row>
    <row r="2408" spans="1:2">
      <c r="A2408" s="3" t="s">
        <v>5658</v>
      </c>
      <c r="B2408" s="3" t="s">
        <v>5659</v>
      </c>
    </row>
    <row r="2409" spans="1:2">
      <c r="A2409" s="3" t="s">
        <v>5660</v>
      </c>
      <c r="B2409" s="3" t="s">
        <v>5661</v>
      </c>
    </row>
    <row r="2410" spans="1:2">
      <c r="A2410" s="3" t="s">
        <v>5662</v>
      </c>
      <c r="B2410" s="3" t="s">
        <v>5663</v>
      </c>
    </row>
    <row r="2411" spans="1:2">
      <c r="A2411" s="3" t="s">
        <v>5664</v>
      </c>
      <c r="B2411" s="3" t="s">
        <v>5665</v>
      </c>
    </row>
    <row r="2412" spans="1:2">
      <c r="A2412" s="3" t="s">
        <v>5666</v>
      </c>
      <c r="B2412" s="3" t="s">
        <v>5667</v>
      </c>
    </row>
    <row r="2413" spans="1:2">
      <c r="A2413" s="3" t="s">
        <v>5668</v>
      </c>
      <c r="B2413" s="3" t="s">
        <v>5669</v>
      </c>
    </row>
    <row r="2414" spans="1:2">
      <c r="A2414" s="3" t="s">
        <v>5670</v>
      </c>
      <c r="B2414" s="3" t="s">
        <v>5671</v>
      </c>
    </row>
    <row r="2415" spans="1:2">
      <c r="A2415" s="3" t="s">
        <v>5672</v>
      </c>
      <c r="B2415" s="3" t="s">
        <v>5673</v>
      </c>
    </row>
    <row r="2416" spans="1:2">
      <c r="A2416" s="3" t="s">
        <v>5674</v>
      </c>
      <c r="B2416" s="3" t="s">
        <v>5675</v>
      </c>
    </row>
    <row r="2417" spans="1:2">
      <c r="A2417" s="3" t="s">
        <v>5676</v>
      </c>
      <c r="B2417" s="3" t="s">
        <v>5677</v>
      </c>
    </row>
    <row r="2418" spans="1:2">
      <c r="A2418" s="3" t="s">
        <v>5678</v>
      </c>
      <c r="B2418" s="3" t="s">
        <v>5679</v>
      </c>
    </row>
    <row r="2419" spans="1:2">
      <c r="A2419" s="3" t="s">
        <v>5680</v>
      </c>
      <c r="B2419" s="3" t="s">
        <v>5681</v>
      </c>
    </row>
    <row r="2420" spans="1:2">
      <c r="A2420" s="3" t="s">
        <v>5682</v>
      </c>
      <c r="B2420" s="3" t="s">
        <v>5683</v>
      </c>
    </row>
    <row r="2421" spans="1:2">
      <c r="A2421" s="3" t="s">
        <v>5684</v>
      </c>
      <c r="B2421" s="3" t="s">
        <v>5685</v>
      </c>
    </row>
    <row r="2422" spans="1:2">
      <c r="A2422" s="3" t="s">
        <v>5686</v>
      </c>
      <c r="B2422" s="3" t="s">
        <v>5687</v>
      </c>
    </row>
    <row r="2423" spans="1:2">
      <c r="A2423" s="3" t="s">
        <v>5688</v>
      </c>
      <c r="B2423" s="3" t="s">
        <v>5689</v>
      </c>
    </row>
    <row r="2424" spans="1:2">
      <c r="A2424" s="3" t="s">
        <v>5690</v>
      </c>
      <c r="B2424" s="3" t="s">
        <v>5691</v>
      </c>
    </row>
    <row r="2425" spans="1:2">
      <c r="A2425" s="3" t="s">
        <v>5692</v>
      </c>
      <c r="B2425" s="3" t="s">
        <v>5693</v>
      </c>
    </row>
    <row r="2426" spans="1:2">
      <c r="A2426" s="3" t="s">
        <v>5694</v>
      </c>
      <c r="B2426" s="3" t="s">
        <v>5695</v>
      </c>
    </row>
    <row r="2427" spans="1:2">
      <c r="A2427" s="3" t="s">
        <v>5696</v>
      </c>
      <c r="B2427" s="3" t="s">
        <v>5697</v>
      </c>
    </row>
    <row r="2428" spans="1:2">
      <c r="A2428" s="3" t="s">
        <v>5698</v>
      </c>
      <c r="B2428" s="3" t="s">
        <v>5699</v>
      </c>
    </row>
    <row r="2429" spans="1:2">
      <c r="A2429" s="3" t="s">
        <v>5700</v>
      </c>
      <c r="B2429" s="3" t="s">
        <v>5701</v>
      </c>
    </row>
    <row r="2430" spans="1:2">
      <c r="A2430" s="3" t="s">
        <v>5702</v>
      </c>
      <c r="B2430" s="3" t="s">
        <v>5703</v>
      </c>
    </row>
    <row r="2431" spans="1:2">
      <c r="A2431" s="3" t="s">
        <v>5704</v>
      </c>
      <c r="B2431" s="3" t="s">
        <v>5705</v>
      </c>
    </row>
    <row r="2432" spans="1:2">
      <c r="A2432" s="3" t="s">
        <v>5706</v>
      </c>
      <c r="B2432" s="3" t="s">
        <v>5707</v>
      </c>
    </row>
    <row r="2433" spans="1:2">
      <c r="A2433" s="3" t="s">
        <v>5708</v>
      </c>
      <c r="B2433" s="3" t="s">
        <v>5709</v>
      </c>
    </row>
    <row r="2434" spans="1:2">
      <c r="A2434" s="3" t="s">
        <v>5710</v>
      </c>
      <c r="B2434" s="3" t="s">
        <v>5693</v>
      </c>
    </row>
    <row r="2435" spans="1:2">
      <c r="A2435" s="3" t="s">
        <v>5711</v>
      </c>
      <c r="B2435" s="3" t="s">
        <v>5712</v>
      </c>
    </row>
    <row r="2436" spans="1:2">
      <c r="A2436" s="3" t="s">
        <v>5713</v>
      </c>
      <c r="B2436" s="3" t="s">
        <v>5714</v>
      </c>
    </row>
    <row r="2437" spans="1:2">
      <c r="A2437" s="3" t="s">
        <v>5715</v>
      </c>
      <c r="B2437" s="3" t="s">
        <v>5716</v>
      </c>
    </row>
    <row r="2438" spans="1:2">
      <c r="A2438" s="3" t="s">
        <v>5717</v>
      </c>
      <c r="B2438" s="3" t="s">
        <v>5718</v>
      </c>
    </row>
    <row r="2439" spans="1:2">
      <c r="A2439" s="3" t="s">
        <v>5719</v>
      </c>
      <c r="B2439" s="3" t="s">
        <v>5720</v>
      </c>
    </row>
    <row r="2440" spans="1:2">
      <c r="A2440" s="3" t="s">
        <v>5721</v>
      </c>
      <c r="B2440" s="3" t="s">
        <v>5722</v>
      </c>
    </row>
    <row r="2441" spans="1:2">
      <c r="A2441" s="3" t="s">
        <v>5723</v>
      </c>
      <c r="B2441" s="3" t="s">
        <v>5724</v>
      </c>
    </row>
    <row r="2442" spans="1:2">
      <c r="A2442" s="3" t="s">
        <v>5725</v>
      </c>
      <c r="B2442" s="3" t="s">
        <v>5726</v>
      </c>
    </row>
    <row r="2443" spans="1:2">
      <c r="A2443" s="3" t="s">
        <v>5727</v>
      </c>
      <c r="B2443" s="3" t="s">
        <v>5728</v>
      </c>
    </row>
    <row r="2444" spans="1:2">
      <c r="A2444" s="3" t="s">
        <v>5729</v>
      </c>
      <c r="B2444" s="3" t="s">
        <v>5730</v>
      </c>
    </row>
    <row r="2445" spans="1:2">
      <c r="A2445" s="3" t="s">
        <v>5731</v>
      </c>
      <c r="B2445" s="3" t="s">
        <v>5732</v>
      </c>
    </row>
    <row r="2446" spans="1:2">
      <c r="A2446" s="3" t="s">
        <v>5733</v>
      </c>
      <c r="B2446" s="3" t="s">
        <v>5734</v>
      </c>
    </row>
    <row r="2447" spans="1:2">
      <c r="A2447" s="3" t="s">
        <v>5735</v>
      </c>
      <c r="B2447" s="3" t="s">
        <v>5736</v>
      </c>
    </row>
    <row r="2448" spans="1:2">
      <c r="A2448" s="3" t="s">
        <v>5737</v>
      </c>
      <c r="B2448" s="3" t="s">
        <v>5738</v>
      </c>
    </row>
    <row r="2449" spans="1:2">
      <c r="A2449" s="3" t="s">
        <v>5739</v>
      </c>
      <c r="B2449" s="3" t="s">
        <v>5740</v>
      </c>
    </row>
    <row r="2450" spans="1:2">
      <c r="A2450" s="3" t="s">
        <v>5741</v>
      </c>
      <c r="B2450" s="3" t="s">
        <v>5742</v>
      </c>
    </row>
    <row r="2451" spans="1:2">
      <c r="A2451" s="3" t="s">
        <v>5743</v>
      </c>
      <c r="B2451" s="3" t="s">
        <v>5744</v>
      </c>
    </row>
    <row r="2452" spans="1:2">
      <c r="A2452" s="3" t="s">
        <v>5745</v>
      </c>
      <c r="B2452" s="3" t="s">
        <v>5746</v>
      </c>
    </row>
    <row r="2453" spans="1:2">
      <c r="A2453" s="3" t="s">
        <v>5747</v>
      </c>
      <c r="B2453" s="3" t="s">
        <v>5748</v>
      </c>
    </row>
    <row r="2454" spans="1:2">
      <c r="A2454" s="3" t="s">
        <v>5749</v>
      </c>
      <c r="B2454" s="3" t="s">
        <v>5750</v>
      </c>
    </row>
    <row r="2455" spans="1:2">
      <c r="A2455" s="3" t="s">
        <v>5751</v>
      </c>
      <c r="B2455" s="3" t="s">
        <v>5752</v>
      </c>
    </row>
    <row r="2456" spans="1:2">
      <c r="A2456" s="3" t="s">
        <v>5753</v>
      </c>
      <c r="B2456" s="3" t="s">
        <v>5754</v>
      </c>
    </row>
    <row r="2457" spans="1:2">
      <c r="A2457" s="3" t="s">
        <v>5755</v>
      </c>
      <c r="B2457" s="3" t="s">
        <v>5756</v>
      </c>
    </row>
    <row r="2458" spans="1:2">
      <c r="A2458" s="3" t="s">
        <v>5757</v>
      </c>
      <c r="B2458" s="3" t="s">
        <v>5758</v>
      </c>
    </row>
    <row r="2459" spans="1:2">
      <c r="A2459" s="3" t="s">
        <v>5759</v>
      </c>
      <c r="B2459" s="3" t="s">
        <v>5760</v>
      </c>
    </row>
    <row r="2460" spans="1:2">
      <c r="A2460" s="3" t="s">
        <v>5761</v>
      </c>
      <c r="B2460" s="3" t="s">
        <v>5762</v>
      </c>
    </row>
    <row r="2461" spans="1:2">
      <c r="A2461" s="3" t="s">
        <v>5763</v>
      </c>
      <c r="B2461" s="3" t="s">
        <v>5764</v>
      </c>
    </row>
    <row r="2462" spans="1:2">
      <c r="A2462" s="3" t="s">
        <v>5765</v>
      </c>
      <c r="B2462" s="3" t="s">
        <v>5766</v>
      </c>
    </row>
    <row r="2463" spans="1:2">
      <c r="A2463" s="3" t="s">
        <v>5767</v>
      </c>
      <c r="B2463" s="3" t="s">
        <v>5768</v>
      </c>
    </row>
    <row r="2464" spans="1:2">
      <c r="A2464" s="3" t="s">
        <v>5769</v>
      </c>
      <c r="B2464" s="3" t="s">
        <v>5770</v>
      </c>
    </row>
    <row r="2465" spans="1:2">
      <c r="A2465" s="3" t="s">
        <v>5771</v>
      </c>
      <c r="B2465" s="3" t="s">
        <v>5772</v>
      </c>
    </row>
    <row r="2466" spans="1:2">
      <c r="A2466" s="3" t="s">
        <v>5773</v>
      </c>
      <c r="B2466" s="3" t="s">
        <v>5774</v>
      </c>
    </row>
    <row r="2467" spans="1:2">
      <c r="A2467" s="3" t="s">
        <v>5775</v>
      </c>
      <c r="B2467" s="3" t="s">
        <v>5776</v>
      </c>
    </row>
    <row r="2468" spans="1:2">
      <c r="A2468" s="3" t="s">
        <v>5777</v>
      </c>
      <c r="B2468" s="3" t="s">
        <v>5778</v>
      </c>
    </row>
    <row r="2469" spans="1:2">
      <c r="A2469" s="3" t="s">
        <v>5779</v>
      </c>
      <c r="B2469" s="3" t="s">
        <v>5780</v>
      </c>
    </row>
    <row r="2470" spans="1:2">
      <c r="A2470" s="3" t="s">
        <v>5781</v>
      </c>
      <c r="B2470" s="3" t="s">
        <v>5782</v>
      </c>
    </row>
    <row r="2471" spans="1:2">
      <c r="A2471" s="3" t="s">
        <v>5783</v>
      </c>
      <c r="B2471" s="3" t="s">
        <v>5784</v>
      </c>
    </row>
    <row r="2472" spans="1:2">
      <c r="A2472" s="3" t="s">
        <v>5785</v>
      </c>
      <c r="B2472" s="3" t="s">
        <v>5786</v>
      </c>
    </row>
    <row r="2473" spans="1:2">
      <c r="A2473" s="3" t="s">
        <v>5787</v>
      </c>
      <c r="B2473" s="3" t="s">
        <v>5788</v>
      </c>
    </row>
    <row r="2474" spans="1:2">
      <c r="A2474" s="3" t="s">
        <v>5789</v>
      </c>
      <c r="B2474" s="3" t="s">
        <v>5790</v>
      </c>
    </row>
    <row r="2475" spans="1:2">
      <c r="A2475" s="3" t="s">
        <v>5791</v>
      </c>
      <c r="B2475" s="3" t="s">
        <v>5792</v>
      </c>
    </row>
    <row r="2476" spans="1:2">
      <c r="A2476" s="3" t="s">
        <v>5793</v>
      </c>
      <c r="B2476" s="3" t="s">
        <v>5794</v>
      </c>
    </row>
    <row r="2477" spans="1:2">
      <c r="A2477" s="3" t="s">
        <v>5795</v>
      </c>
      <c r="B2477" s="3" t="s">
        <v>5796</v>
      </c>
    </row>
    <row r="2478" spans="1:2">
      <c r="A2478" s="3" t="s">
        <v>395</v>
      </c>
      <c r="B2478" s="3" t="s">
        <v>5797</v>
      </c>
    </row>
    <row r="2479" spans="1:2">
      <c r="A2479" s="3" t="s">
        <v>5798</v>
      </c>
      <c r="B2479" s="3" t="s">
        <v>5799</v>
      </c>
    </row>
    <row r="2480" spans="1:2">
      <c r="A2480" s="3" t="s">
        <v>5800</v>
      </c>
      <c r="B2480" s="3" t="s">
        <v>5801</v>
      </c>
    </row>
    <row r="2481" spans="1:2">
      <c r="A2481" s="3" t="s">
        <v>5802</v>
      </c>
      <c r="B2481" s="3" t="s">
        <v>5803</v>
      </c>
    </row>
    <row r="2482" spans="1:2">
      <c r="A2482" s="3" t="s">
        <v>5804</v>
      </c>
      <c r="B2482" s="3" t="s">
        <v>5805</v>
      </c>
    </row>
    <row r="2483" spans="1:2">
      <c r="A2483" s="3" t="s">
        <v>5806</v>
      </c>
      <c r="B2483" s="3" t="s">
        <v>5807</v>
      </c>
    </row>
    <row r="2484" spans="1:2">
      <c r="A2484" s="3" t="s">
        <v>5808</v>
      </c>
      <c r="B2484" s="3" t="s">
        <v>5809</v>
      </c>
    </row>
    <row r="2485" spans="1:2">
      <c r="A2485" s="3" t="s">
        <v>5810</v>
      </c>
      <c r="B2485" s="3" t="s">
        <v>5811</v>
      </c>
    </row>
    <row r="2486" spans="1:2">
      <c r="A2486" s="3" t="s">
        <v>5812</v>
      </c>
      <c r="B2486" s="3" t="s">
        <v>5813</v>
      </c>
    </row>
    <row r="2487" spans="1:2">
      <c r="A2487" s="3" t="s">
        <v>5814</v>
      </c>
      <c r="B2487" s="3" t="s">
        <v>5815</v>
      </c>
    </row>
    <row r="2488" spans="1:2">
      <c r="A2488" s="3" t="s">
        <v>5816</v>
      </c>
      <c r="B2488" s="3" t="s">
        <v>5817</v>
      </c>
    </row>
    <row r="2489" spans="1:2">
      <c r="A2489" s="3" t="s">
        <v>5818</v>
      </c>
      <c r="B2489" s="3" t="s">
        <v>5819</v>
      </c>
    </row>
    <row r="2490" spans="1:2">
      <c r="A2490" s="3" t="s">
        <v>5820</v>
      </c>
      <c r="B2490" s="3" t="s">
        <v>5821</v>
      </c>
    </row>
    <row r="2491" spans="1:2">
      <c r="A2491" s="3" t="s">
        <v>5822</v>
      </c>
      <c r="B2491" s="3" t="s">
        <v>5823</v>
      </c>
    </row>
    <row r="2492" spans="1:2">
      <c r="A2492" s="3" t="s">
        <v>5824</v>
      </c>
      <c r="B2492" s="3" t="s">
        <v>5825</v>
      </c>
    </row>
    <row r="2493" spans="1:2">
      <c r="A2493" s="3" t="s">
        <v>5826</v>
      </c>
      <c r="B2493" s="3" t="s">
        <v>5827</v>
      </c>
    </row>
    <row r="2494" spans="1:2">
      <c r="A2494" s="3" t="s">
        <v>5828</v>
      </c>
      <c r="B2494" s="3" t="s">
        <v>5829</v>
      </c>
    </row>
    <row r="2495" spans="1:2">
      <c r="A2495" s="3" t="s">
        <v>5830</v>
      </c>
      <c r="B2495" s="3" t="s">
        <v>5831</v>
      </c>
    </row>
    <row r="2496" spans="1:2">
      <c r="A2496" s="3" t="s">
        <v>5832</v>
      </c>
      <c r="B2496" s="3" t="s">
        <v>5833</v>
      </c>
    </row>
    <row r="2497" spans="1:2">
      <c r="A2497" s="3" t="s">
        <v>5834</v>
      </c>
      <c r="B2497" s="3" t="s">
        <v>5835</v>
      </c>
    </row>
    <row r="2498" spans="1:2">
      <c r="A2498" s="3" t="s">
        <v>5836</v>
      </c>
      <c r="B2498" s="3" t="s">
        <v>5837</v>
      </c>
    </row>
    <row r="2499" spans="1:2">
      <c r="A2499" s="3" t="s">
        <v>5838</v>
      </c>
      <c r="B2499" s="3" t="s">
        <v>5839</v>
      </c>
    </row>
    <row r="2500" spans="1:2">
      <c r="A2500" s="3" t="s">
        <v>5840</v>
      </c>
      <c r="B2500" s="3" t="s">
        <v>5841</v>
      </c>
    </row>
    <row r="2501" spans="1:2">
      <c r="A2501" s="3" t="s">
        <v>5842</v>
      </c>
      <c r="B2501" s="3" t="s">
        <v>5843</v>
      </c>
    </row>
    <row r="2502" spans="1:2">
      <c r="A2502" s="3" t="s">
        <v>5844</v>
      </c>
      <c r="B2502" s="3" t="s">
        <v>5845</v>
      </c>
    </row>
    <row r="2503" spans="1:2">
      <c r="A2503" s="3" t="s">
        <v>5846</v>
      </c>
      <c r="B2503" s="3" t="s">
        <v>5847</v>
      </c>
    </row>
    <row r="2504" spans="1:2">
      <c r="A2504" s="3" t="s">
        <v>5848</v>
      </c>
      <c r="B2504" s="3" t="s">
        <v>5849</v>
      </c>
    </row>
    <row r="2505" spans="1:2">
      <c r="A2505" s="3" t="s">
        <v>5850</v>
      </c>
      <c r="B2505" s="3" t="s">
        <v>5851</v>
      </c>
    </row>
    <row r="2506" spans="1:2">
      <c r="A2506" s="3" t="s">
        <v>5852</v>
      </c>
      <c r="B2506" s="3" t="s">
        <v>5853</v>
      </c>
    </row>
    <row r="2507" spans="1:2">
      <c r="A2507" s="3" t="s">
        <v>5854</v>
      </c>
      <c r="B2507" s="3" t="s">
        <v>5855</v>
      </c>
    </row>
    <row r="2508" spans="1:2">
      <c r="A2508" s="3" t="s">
        <v>5856</v>
      </c>
      <c r="B2508" s="3" t="s">
        <v>5857</v>
      </c>
    </row>
    <row r="2509" spans="1:2">
      <c r="A2509" s="3" t="s">
        <v>5858</v>
      </c>
      <c r="B2509" s="3" t="s">
        <v>5859</v>
      </c>
    </row>
    <row r="2510" spans="1:2">
      <c r="A2510" s="3" t="s">
        <v>5860</v>
      </c>
      <c r="B2510" s="3" t="s">
        <v>5861</v>
      </c>
    </row>
    <row r="2511" spans="1:2">
      <c r="A2511" s="3" t="s">
        <v>5862</v>
      </c>
      <c r="B2511" s="3" t="s">
        <v>5863</v>
      </c>
    </row>
    <row r="2512" spans="1:2">
      <c r="A2512" s="3" t="s">
        <v>5864</v>
      </c>
      <c r="B2512" s="3" t="s">
        <v>5865</v>
      </c>
    </row>
    <row r="2513" spans="1:2">
      <c r="A2513" s="3" t="s">
        <v>5866</v>
      </c>
      <c r="B2513" s="3" t="s">
        <v>5867</v>
      </c>
    </row>
    <row r="2514" spans="1:2">
      <c r="A2514" s="3" t="s">
        <v>5868</v>
      </c>
      <c r="B2514" s="3" t="s">
        <v>5869</v>
      </c>
    </row>
    <row r="2515" spans="1:2">
      <c r="A2515" s="3" t="s">
        <v>5870</v>
      </c>
      <c r="B2515" s="3" t="s">
        <v>5871</v>
      </c>
    </row>
    <row r="2516" spans="1:2">
      <c r="A2516" s="3" t="s">
        <v>5872</v>
      </c>
      <c r="B2516" s="3" t="s">
        <v>5873</v>
      </c>
    </row>
    <row r="2517" spans="1:2">
      <c r="A2517" s="3" t="s">
        <v>5874</v>
      </c>
      <c r="B2517" s="3" t="s">
        <v>5875</v>
      </c>
    </row>
    <row r="2518" spans="1:2">
      <c r="A2518" s="3" t="s">
        <v>5876</v>
      </c>
      <c r="B2518" s="3" t="s">
        <v>5877</v>
      </c>
    </row>
    <row r="2519" spans="1:2">
      <c r="A2519" s="3" t="s">
        <v>5878</v>
      </c>
      <c r="B2519" s="3" t="s">
        <v>5879</v>
      </c>
    </row>
    <row r="2520" spans="1:2">
      <c r="A2520" s="3" t="s">
        <v>5880</v>
      </c>
      <c r="B2520" s="3" t="s">
        <v>5881</v>
      </c>
    </row>
    <row r="2521" spans="1:2">
      <c r="A2521" s="3" t="s">
        <v>5882</v>
      </c>
      <c r="B2521" s="3" t="s">
        <v>5883</v>
      </c>
    </row>
    <row r="2522" spans="1:2">
      <c r="A2522" s="3" t="s">
        <v>5884</v>
      </c>
      <c r="B2522" s="3" t="s">
        <v>5885</v>
      </c>
    </row>
    <row r="2523" spans="1:2">
      <c r="A2523" s="3" t="s">
        <v>5886</v>
      </c>
      <c r="B2523" s="3" t="s">
        <v>5887</v>
      </c>
    </row>
    <row r="2524" spans="1:2">
      <c r="A2524" s="3" t="s">
        <v>5888</v>
      </c>
      <c r="B2524" s="3" t="s">
        <v>5889</v>
      </c>
    </row>
    <row r="2525" spans="1:2">
      <c r="A2525" s="3" t="s">
        <v>5890</v>
      </c>
      <c r="B2525" s="3" t="s">
        <v>5891</v>
      </c>
    </row>
    <row r="2526" spans="1:2">
      <c r="A2526" s="3" t="s">
        <v>5892</v>
      </c>
      <c r="B2526" s="3" t="s">
        <v>5893</v>
      </c>
    </row>
    <row r="2527" spans="1:2">
      <c r="A2527" s="3" t="s">
        <v>5894</v>
      </c>
      <c r="B2527" s="3" t="s">
        <v>5895</v>
      </c>
    </row>
    <row r="2528" spans="1:2">
      <c r="A2528" s="3" t="s">
        <v>5896</v>
      </c>
      <c r="B2528" s="3" t="s">
        <v>5897</v>
      </c>
    </row>
    <row r="2529" spans="1:2">
      <c r="A2529" s="3" t="s">
        <v>5898</v>
      </c>
      <c r="B2529" s="3" t="s">
        <v>5899</v>
      </c>
    </row>
    <row r="2530" spans="1:2">
      <c r="A2530" s="3" t="s">
        <v>5900</v>
      </c>
      <c r="B2530" s="3" t="s">
        <v>5901</v>
      </c>
    </row>
    <row r="2531" spans="1:2">
      <c r="A2531" s="3" t="s">
        <v>5902</v>
      </c>
      <c r="B2531" s="3" t="s">
        <v>5903</v>
      </c>
    </row>
    <row r="2532" spans="1:2">
      <c r="A2532" s="3" t="s">
        <v>5904</v>
      </c>
      <c r="B2532" s="3" t="s">
        <v>5905</v>
      </c>
    </row>
    <row r="2533" spans="1:2">
      <c r="A2533" s="3" t="s">
        <v>5906</v>
      </c>
      <c r="B2533" s="3" t="s">
        <v>5907</v>
      </c>
    </row>
    <row r="2534" spans="1:2">
      <c r="A2534" s="3" t="s">
        <v>5908</v>
      </c>
      <c r="B2534" s="3" t="s">
        <v>5909</v>
      </c>
    </row>
    <row r="2535" spans="1:2">
      <c r="A2535" s="3" t="s">
        <v>5910</v>
      </c>
      <c r="B2535" s="3" t="s">
        <v>5911</v>
      </c>
    </row>
    <row r="2536" spans="1:2">
      <c r="A2536" s="3" t="s">
        <v>5912</v>
      </c>
      <c r="B2536" s="3" t="s">
        <v>5913</v>
      </c>
    </row>
    <row r="2537" spans="1:2">
      <c r="A2537" s="3" t="s">
        <v>5914</v>
      </c>
      <c r="B2537" s="3" t="s">
        <v>5651</v>
      </c>
    </row>
    <row r="2538" spans="1:2">
      <c r="A2538" s="3" t="s">
        <v>5915</v>
      </c>
      <c r="B2538" s="3" t="s">
        <v>5916</v>
      </c>
    </row>
    <row r="2539" spans="1:2">
      <c r="A2539" s="3" t="s">
        <v>5917</v>
      </c>
      <c r="B2539" s="3" t="s">
        <v>5918</v>
      </c>
    </row>
    <row r="2540" spans="1:2">
      <c r="A2540" s="3" t="s">
        <v>5919</v>
      </c>
      <c r="B2540" s="3" t="s">
        <v>5920</v>
      </c>
    </row>
    <row r="2541" spans="1:2">
      <c r="A2541" s="3" t="s">
        <v>5921</v>
      </c>
      <c r="B2541" s="3" t="s">
        <v>5922</v>
      </c>
    </row>
    <row r="2542" spans="1:2">
      <c r="A2542" s="3" t="s">
        <v>5923</v>
      </c>
      <c r="B2542" s="3" t="s">
        <v>5924</v>
      </c>
    </row>
    <row r="2543" spans="1:2">
      <c r="A2543" s="3" t="s">
        <v>5925</v>
      </c>
      <c r="B2543" s="3" t="s">
        <v>5926</v>
      </c>
    </row>
    <row r="2544" spans="1:2">
      <c r="A2544" s="3" t="s">
        <v>5927</v>
      </c>
      <c r="B2544" s="3" t="s">
        <v>5928</v>
      </c>
    </row>
    <row r="2545" spans="1:2">
      <c r="A2545" s="3" t="s">
        <v>5929</v>
      </c>
      <c r="B2545" s="3" t="s">
        <v>5930</v>
      </c>
    </row>
    <row r="2546" spans="1:2">
      <c r="A2546" s="3" t="s">
        <v>5931</v>
      </c>
      <c r="B2546" s="3" t="s">
        <v>5932</v>
      </c>
    </row>
    <row r="2547" spans="1:2">
      <c r="A2547" s="3" t="s">
        <v>5933</v>
      </c>
      <c r="B2547" s="3" t="s">
        <v>5934</v>
      </c>
    </row>
    <row r="2548" spans="1:2">
      <c r="A2548" s="3" t="s">
        <v>5935</v>
      </c>
      <c r="B2548" s="3" t="s">
        <v>5936</v>
      </c>
    </row>
    <row r="2549" spans="1:2">
      <c r="A2549" s="3" t="s">
        <v>5937</v>
      </c>
      <c r="B2549" s="3" t="s">
        <v>5938</v>
      </c>
    </row>
    <row r="2550" spans="1:2">
      <c r="A2550" s="3" t="s">
        <v>5939</v>
      </c>
      <c r="B2550" s="3" t="s">
        <v>5940</v>
      </c>
    </row>
    <row r="2551" spans="1:2">
      <c r="A2551" s="3" t="s">
        <v>5941</v>
      </c>
      <c r="B2551" s="3" t="s">
        <v>5942</v>
      </c>
    </row>
    <row r="2552" spans="1:2">
      <c r="A2552" s="3" t="s">
        <v>5943</v>
      </c>
      <c r="B2552" s="3" t="s">
        <v>5944</v>
      </c>
    </row>
    <row r="2553" spans="1:2">
      <c r="A2553" s="3" t="s">
        <v>5945</v>
      </c>
      <c r="B2553" s="3" t="s">
        <v>5946</v>
      </c>
    </row>
    <row r="2554" spans="1:2">
      <c r="A2554" s="3" t="s">
        <v>5947</v>
      </c>
      <c r="B2554" s="3" t="s">
        <v>5948</v>
      </c>
    </row>
    <row r="2555" spans="1:2">
      <c r="A2555" s="3" t="s">
        <v>5949</v>
      </c>
      <c r="B2555" s="3" t="s">
        <v>5950</v>
      </c>
    </row>
    <row r="2556" spans="1:2">
      <c r="A2556" s="3" t="s">
        <v>5951</v>
      </c>
      <c r="B2556" s="3" t="s">
        <v>5952</v>
      </c>
    </row>
    <row r="2557" spans="1:2">
      <c r="A2557" s="3" t="s">
        <v>5953</v>
      </c>
      <c r="B2557" s="3" t="s">
        <v>5954</v>
      </c>
    </row>
    <row r="2558" spans="1:2">
      <c r="A2558" s="3" t="s">
        <v>5955</v>
      </c>
      <c r="B2558" s="3" t="s">
        <v>5956</v>
      </c>
    </row>
    <row r="2559" spans="1:2">
      <c r="A2559" s="3" t="s">
        <v>5957</v>
      </c>
      <c r="B2559" s="3" t="s">
        <v>5958</v>
      </c>
    </row>
    <row r="2560" spans="1:2">
      <c r="A2560" s="3" t="s">
        <v>5959</v>
      </c>
      <c r="B2560" s="3" t="s">
        <v>5958</v>
      </c>
    </row>
    <row r="2561" spans="1:2">
      <c r="A2561" s="3" t="s">
        <v>5960</v>
      </c>
      <c r="B2561" s="3" t="s">
        <v>5961</v>
      </c>
    </row>
    <row r="2562" spans="1:2">
      <c r="A2562" s="3" t="s">
        <v>5962</v>
      </c>
      <c r="B2562" s="3" t="s">
        <v>5963</v>
      </c>
    </row>
    <row r="2563" spans="1:2">
      <c r="A2563" s="3" t="s">
        <v>5964</v>
      </c>
      <c r="B2563" s="3" t="s">
        <v>5965</v>
      </c>
    </row>
    <row r="2564" spans="1:2">
      <c r="A2564" s="3" t="s">
        <v>5966</v>
      </c>
      <c r="B2564" s="3" t="s">
        <v>5967</v>
      </c>
    </row>
    <row r="2565" spans="1:2">
      <c r="A2565" s="3" t="s">
        <v>5968</v>
      </c>
      <c r="B2565" s="3" t="s">
        <v>5969</v>
      </c>
    </row>
    <row r="2566" spans="1:2">
      <c r="A2566" s="3" t="s">
        <v>5970</v>
      </c>
      <c r="B2566" s="3" t="s">
        <v>5971</v>
      </c>
    </row>
    <row r="2567" spans="1:2">
      <c r="A2567" s="3" t="s">
        <v>5972</v>
      </c>
      <c r="B2567" s="3" t="s">
        <v>5973</v>
      </c>
    </row>
    <row r="2568" spans="1:2">
      <c r="A2568" s="3" t="s">
        <v>5974</v>
      </c>
      <c r="B2568" s="3" t="s">
        <v>5975</v>
      </c>
    </row>
    <row r="2569" spans="1:2">
      <c r="A2569" s="3" t="s">
        <v>5976</v>
      </c>
      <c r="B2569" s="3" t="s">
        <v>5977</v>
      </c>
    </row>
    <row r="2570" spans="1:2">
      <c r="A2570" s="3" t="s">
        <v>5978</v>
      </c>
      <c r="B2570" s="3" t="s">
        <v>5979</v>
      </c>
    </row>
    <row r="2571" spans="1:2">
      <c r="A2571" s="3" t="s">
        <v>5980</v>
      </c>
      <c r="B2571" s="3" t="s">
        <v>5981</v>
      </c>
    </row>
    <row r="2572" spans="1:2">
      <c r="A2572" s="3" t="s">
        <v>421</v>
      </c>
      <c r="B2572" s="3" t="s">
        <v>5982</v>
      </c>
    </row>
    <row r="2573" spans="1:2">
      <c r="A2573" s="3" t="s">
        <v>5983</v>
      </c>
      <c r="B2573" s="3" t="s">
        <v>5984</v>
      </c>
    </row>
    <row r="2574" spans="1:2">
      <c r="A2574" s="3" t="s">
        <v>5985</v>
      </c>
      <c r="B2574" s="3" t="s">
        <v>5986</v>
      </c>
    </row>
    <row r="2575" spans="1:2">
      <c r="A2575" s="3" t="s">
        <v>5987</v>
      </c>
      <c r="B2575" s="3" t="s">
        <v>5988</v>
      </c>
    </row>
    <row r="2576" spans="1:2">
      <c r="A2576" s="3" t="s">
        <v>5989</v>
      </c>
      <c r="B2576" s="3" t="s">
        <v>5990</v>
      </c>
    </row>
    <row r="2577" spans="1:2">
      <c r="A2577" s="3" t="s">
        <v>5991</v>
      </c>
      <c r="B2577" s="3" t="s">
        <v>5992</v>
      </c>
    </row>
    <row r="2578" spans="1:2">
      <c r="A2578" s="3" t="s">
        <v>5993</v>
      </c>
      <c r="B2578" s="3" t="s">
        <v>5994</v>
      </c>
    </row>
    <row r="2579" spans="1:2">
      <c r="A2579" s="3" t="s">
        <v>5995</v>
      </c>
      <c r="B2579" s="3" t="s">
        <v>5996</v>
      </c>
    </row>
    <row r="2580" spans="1:2">
      <c r="A2580" s="3" t="s">
        <v>5997</v>
      </c>
      <c r="B2580" s="3" t="s">
        <v>5998</v>
      </c>
    </row>
    <row r="2581" spans="1:2">
      <c r="A2581" s="3" t="s">
        <v>5999</v>
      </c>
      <c r="B2581" s="3" t="s">
        <v>6000</v>
      </c>
    </row>
    <row r="2582" spans="1:2">
      <c r="A2582" s="3" t="s">
        <v>6001</v>
      </c>
      <c r="B2582" s="3" t="s">
        <v>6002</v>
      </c>
    </row>
    <row r="2583" spans="1:2">
      <c r="A2583" s="3" t="s">
        <v>6003</v>
      </c>
      <c r="B2583" s="3" t="s">
        <v>6004</v>
      </c>
    </row>
    <row r="2584" spans="1:2">
      <c r="A2584" s="3" t="s">
        <v>6005</v>
      </c>
      <c r="B2584" s="3" t="s">
        <v>6006</v>
      </c>
    </row>
    <row r="2585" spans="1:2">
      <c r="A2585" s="3" t="s">
        <v>6007</v>
      </c>
      <c r="B2585" s="3" t="s">
        <v>6008</v>
      </c>
    </row>
    <row r="2586" spans="1:2">
      <c r="A2586" s="3" t="s">
        <v>6009</v>
      </c>
      <c r="B2586" s="3" t="s">
        <v>6010</v>
      </c>
    </row>
    <row r="2587" spans="1:2">
      <c r="A2587" s="3" t="s">
        <v>6011</v>
      </c>
      <c r="B2587" s="3" t="s">
        <v>6012</v>
      </c>
    </row>
    <row r="2588" spans="1:2">
      <c r="A2588" s="3" t="s">
        <v>6013</v>
      </c>
      <c r="B2588" s="3" t="s">
        <v>6014</v>
      </c>
    </row>
    <row r="2589" spans="1:2">
      <c r="A2589" s="3" t="s">
        <v>6015</v>
      </c>
      <c r="B2589" s="3" t="s">
        <v>6016</v>
      </c>
    </row>
    <row r="2590" spans="1:2">
      <c r="A2590" s="3" t="s">
        <v>6017</v>
      </c>
      <c r="B2590" s="3" t="s">
        <v>6018</v>
      </c>
    </row>
    <row r="2591" spans="1:2">
      <c r="A2591" s="3" t="s">
        <v>6019</v>
      </c>
      <c r="B2591" s="3" t="s">
        <v>6020</v>
      </c>
    </row>
    <row r="2592" spans="1:2">
      <c r="A2592" s="3" t="s">
        <v>6021</v>
      </c>
      <c r="B2592" s="3" t="s">
        <v>6022</v>
      </c>
    </row>
    <row r="2593" spans="1:2">
      <c r="A2593" s="3" t="s">
        <v>6023</v>
      </c>
      <c r="B2593" s="3" t="s">
        <v>6024</v>
      </c>
    </row>
    <row r="2594" spans="1:2">
      <c r="A2594" s="3" t="s">
        <v>6025</v>
      </c>
      <c r="B2594" s="3" t="s">
        <v>6026</v>
      </c>
    </row>
    <row r="2595" spans="1:2">
      <c r="A2595" s="3" t="s">
        <v>6027</v>
      </c>
      <c r="B2595" s="3" t="s">
        <v>6028</v>
      </c>
    </row>
    <row r="2596" spans="1:2">
      <c r="A2596" s="3" t="s">
        <v>6029</v>
      </c>
      <c r="B2596" s="3" t="s">
        <v>6030</v>
      </c>
    </row>
    <row r="2597" spans="1:2">
      <c r="A2597" s="3" t="s">
        <v>6031</v>
      </c>
      <c r="B2597" s="3" t="s">
        <v>6032</v>
      </c>
    </row>
    <row r="2598" spans="1:2">
      <c r="A2598" s="3" t="s">
        <v>6033</v>
      </c>
      <c r="B2598" s="3" t="s">
        <v>6034</v>
      </c>
    </row>
    <row r="2599" spans="1:2">
      <c r="A2599" s="3" t="s">
        <v>6035</v>
      </c>
      <c r="B2599" s="3" t="s">
        <v>6036</v>
      </c>
    </row>
    <row r="2600" spans="1:2">
      <c r="A2600" s="3" t="s">
        <v>6037</v>
      </c>
      <c r="B2600" s="3" t="s">
        <v>6038</v>
      </c>
    </row>
    <row r="2601" spans="1:2">
      <c r="A2601" s="3" t="s">
        <v>6039</v>
      </c>
      <c r="B2601" s="3" t="s">
        <v>6040</v>
      </c>
    </row>
    <row r="2602" spans="1:2">
      <c r="A2602" s="3" t="s">
        <v>6041</v>
      </c>
      <c r="B2602" s="3" t="s">
        <v>6042</v>
      </c>
    </row>
    <row r="2603" spans="1:2">
      <c r="A2603" s="3" t="s">
        <v>6043</v>
      </c>
      <c r="B2603" s="3" t="s">
        <v>6044</v>
      </c>
    </row>
    <row r="2604" spans="1:2">
      <c r="A2604" s="3" t="s">
        <v>6045</v>
      </c>
      <c r="B2604" s="3" t="s">
        <v>6046</v>
      </c>
    </row>
    <row r="2605" spans="1:2">
      <c r="A2605" s="3" t="s">
        <v>6047</v>
      </c>
      <c r="B2605" s="3" t="s">
        <v>6048</v>
      </c>
    </row>
    <row r="2606" spans="1:2">
      <c r="A2606" s="3" t="s">
        <v>6049</v>
      </c>
      <c r="B2606" s="3" t="s">
        <v>6050</v>
      </c>
    </row>
    <row r="2607" spans="1:2">
      <c r="A2607" s="3" t="s">
        <v>6051</v>
      </c>
      <c r="B2607" s="3" t="s">
        <v>6052</v>
      </c>
    </row>
    <row r="2608" spans="1:2">
      <c r="A2608" s="3" t="s">
        <v>6053</v>
      </c>
      <c r="B2608" s="3" t="s">
        <v>6054</v>
      </c>
    </row>
    <row r="2609" spans="1:2">
      <c r="A2609" s="3" t="s">
        <v>6055</v>
      </c>
      <c r="B2609" s="3" t="s">
        <v>6056</v>
      </c>
    </row>
    <row r="2610" spans="1:2">
      <c r="A2610" s="3" t="s">
        <v>6057</v>
      </c>
      <c r="B2610" s="3" t="s">
        <v>6058</v>
      </c>
    </row>
    <row r="2611" spans="1:2">
      <c r="A2611" s="3" t="s">
        <v>6059</v>
      </c>
      <c r="B2611" s="3" t="s">
        <v>6060</v>
      </c>
    </row>
    <row r="2612" spans="1:2">
      <c r="A2612" s="3" t="s">
        <v>6061</v>
      </c>
      <c r="B2612" s="3" t="s">
        <v>6062</v>
      </c>
    </row>
    <row r="2613" spans="1:2">
      <c r="A2613" s="3" t="s">
        <v>6063</v>
      </c>
      <c r="B2613" s="3" t="s">
        <v>6064</v>
      </c>
    </row>
    <row r="2614" spans="1:2">
      <c r="A2614" s="3" t="s">
        <v>6065</v>
      </c>
      <c r="B2614" s="3" t="s">
        <v>6066</v>
      </c>
    </row>
    <row r="2615" spans="1:2">
      <c r="A2615" s="3" t="s">
        <v>6067</v>
      </c>
      <c r="B2615" s="3" t="s">
        <v>6068</v>
      </c>
    </row>
    <row r="2616" spans="1:2">
      <c r="A2616" s="3" t="s">
        <v>6069</v>
      </c>
      <c r="B2616" s="3" t="s">
        <v>6070</v>
      </c>
    </row>
    <row r="2617" spans="1:2">
      <c r="A2617" s="3" t="s">
        <v>6071</v>
      </c>
      <c r="B2617" s="3" t="s">
        <v>6072</v>
      </c>
    </row>
    <row r="2618" spans="1:2">
      <c r="A2618" s="3" t="s">
        <v>6073</v>
      </c>
      <c r="B2618" s="3" t="s">
        <v>6074</v>
      </c>
    </row>
    <row r="2619" spans="1:2">
      <c r="A2619" s="3" t="s">
        <v>6075</v>
      </c>
      <c r="B2619" s="3" t="s">
        <v>6076</v>
      </c>
    </row>
    <row r="2620" spans="1:2">
      <c r="A2620" s="3" t="s">
        <v>6077</v>
      </c>
      <c r="B2620" s="3" t="s">
        <v>6078</v>
      </c>
    </row>
    <row r="2621" spans="1:2">
      <c r="A2621" s="3" t="s">
        <v>6079</v>
      </c>
      <c r="B2621" s="3" t="s">
        <v>6080</v>
      </c>
    </row>
    <row r="2622" spans="1:2">
      <c r="A2622" s="3" t="s">
        <v>6081</v>
      </c>
      <c r="B2622" s="3" t="s">
        <v>6082</v>
      </c>
    </row>
    <row r="2623" spans="1:2">
      <c r="A2623" s="3" t="s">
        <v>6083</v>
      </c>
      <c r="B2623" s="3" t="s">
        <v>6084</v>
      </c>
    </row>
    <row r="2624" spans="1:2">
      <c r="A2624" s="3" t="s">
        <v>6085</v>
      </c>
      <c r="B2624" s="3" t="s">
        <v>6086</v>
      </c>
    </row>
    <row r="2625" spans="1:2">
      <c r="A2625" s="3" t="s">
        <v>6087</v>
      </c>
      <c r="B2625" s="3" t="s">
        <v>6088</v>
      </c>
    </row>
    <row r="2626" spans="1:2">
      <c r="A2626" s="3" t="s">
        <v>6089</v>
      </c>
      <c r="B2626" s="3" t="s">
        <v>6090</v>
      </c>
    </row>
    <row r="2627" spans="1:2">
      <c r="A2627" s="3" t="s">
        <v>6091</v>
      </c>
      <c r="B2627" s="3" t="s">
        <v>6092</v>
      </c>
    </row>
    <row r="2628" spans="1:2">
      <c r="A2628" s="3" t="s">
        <v>6093</v>
      </c>
      <c r="B2628" s="3" t="s">
        <v>6094</v>
      </c>
    </row>
    <row r="2629" spans="1:2">
      <c r="A2629" s="3" t="s">
        <v>6095</v>
      </c>
      <c r="B2629" s="3" t="s">
        <v>6096</v>
      </c>
    </row>
    <row r="2630" spans="1:2">
      <c r="A2630" s="3" t="s">
        <v>6097</v>
      </c>
      <c r="B2630" s="3" t="s">
        <v>6098</v>
      </c>
    </row>
    <row r="2631" spans="1:2">
      <c r="A2631" s="3" t="s">
        <v>6099</v>
      </c>
      <c r="B2631" s="3" t="s">
        <v>6100</v>
      </c>
    </row>
    <row r="2632" spans="1:2">
      <c r="A2632" s="3" t="s">
        <v>6101</v>
      </c>
      <c r="B2632" s="3" t="s">
        <v>6102</v>
      </c>
    </row>
    <row r="2633" spans="1:2">
      <c r="A2633" s="3" t="s">
        <v>6103</v>
      </c>
      <c r="B2633" s="3" t="s">
        <v>6104</v>
      </c>
    </row>
    <row r="2634" spans="1:2">
      <c r="A2634" s="3" t="s">
        <v>6105</v>
      </c>
      <c r="B2634" s="3" t="s">
        <v>6106</v>
      </c>
    </row>
    <row r="2635" spans="1:2">
      <c r="A2635" s="3" t="s">
        <v>6107</v>
      </c>
      <c r="B2635" s="3" t="s">
        <v>6108</v>
      </c>
    </row>
    <row r="2636" spans="1:2">
      <c r="A2636" s="3" t="s">
        <v>6109</v>
      </c>
      <c r="B2636" s="3" t="s">
        <v>6110</v>
      </c>
    </row>
    <row r="2637" spans="1:2">
      <c r="A2637" s="3" t="s">
        <v>6111</v>
      </c>
      <c r="B2637" s="3" t="s">
        <v>6112</v>
      </c>
    </row>
    <row r="2638" spans="1:2">
      <c r="A2638" s="3" t="s">
        <v>6113</v>
      </c>
      <c r="B2638" s="3" t="s">
        <v>6114</v>
      </c>
    </row>
    <row r="2639" spans="1:2">
      <c r="A2639" s="3" t="s">
        <v>6115</v>
      </c>
      <c r="B2639" s="3" t="s">
        <v>6116</v>
      </c>
    </row>
    <row r="2640" spans="1:2">
      <c r="A2640" s="3" t="s">
        <v>6117</v>
      </c>
      <c r="B2640" s="3" t="s">
        <v>6118</v>
      </c>
    </row>
    <row r="2641" spans="1:2">
      <c r="A2641" s="3" t="s">
        <v>6119</v>
      </c>
      <c r="B2641" s="3" t="s">
        <v>6120</v>
      </c>
    </row>
    <row r="2642" spans="1:2">
      <c r="A2642" s="3" t="s">
        <v>6121</v>
      </c>
      <c r="B2642" s="3" t="s">
        <v>6122</v>
      </c>
    </row>
    <row r="2643" spans="1:2">
      <c r="A2643" s="3" t="s">
        <v>6123</v>
      </c>
      <c r="B2643" s="3" t="s">
        <v>6124</v>
      </c>
    </row>
    <row r="2644" spans="1:2">
      <c r="A2644" s="3" t="s">
        <v>6125</v>
      </c>
      <c r="B2644" s="3" t="s">
        <v>6126</v>
      </c>
    </row>
    <row r="2645" spans="1:2">
      <c r="A2645" s="3" t="s">
        <v>6127</v>
      </c>
      <c r="B2645" s="3" t="s">
        <v>6128</v>
      </c>
    </row>
    <row r="2646" spans="1:2">
      <c r="A2646" s="3" t="s">
        <v>6129</v>
      </c>
      <c r="B2646" s="3" t="s">
        <v>6130</v>
      </c>
    </row>
    <row r="2647" spans="1:2">
      <c r="A2647" s="3" t="s">
        <v>6131</v>
      </c>
      <c r="B2647" s="3" t="s">
        <v>6132</v>
      </c>
    </row>
    <row r="2648" spans="1:2">
      <c r="A2648" s="3" t="s">
        <v>6133</v>
      </c>
      <c r="B2648" s="3" t="s">
        <v>6134</v>
      </c>
    </row>
    <row r="2649" spans="1:2">
      <c r="A2649" s="3" t="s">
        <v>6135</v>
      </c>
      <c r="B2649" s="3" t="s">
        <v>6136</v>
      </c>
    </row>
    <row r="2650" spans="1:2">
      <c r="A2650" s="3" t="s">
        <v>6137</v>
      </c>
      <c r="B2650" s="3" t="s">
        <v>6138</v>
      </c>
    </row>
    <row r="2651" spans="1:2">
      <c r="A2651" s="3" t="s">
        <v>6139</v>
      </c>
      <c r="B2651" s="3" t="s">
        <v>6140</v>
      </c>
    </row>
    <row r="2652" spans="1:2">
      <c r="A2652" s="3" t="s">
        <v>6141</v>
      </c>
      <c r="B2652" s="3" t="s">
        <v>6142</v>
      </c>
    </row>
    <row r="2653" spans="1:2">
      <c r="A2653" s="3" t="s">
        <v>6143</v>
      </c>
      <c r="B2653" s="3" t="s">
        <v>6144</v>
      </c>
    </row>
    <row r="2654" spans="1:2">
      <c r="A2654" s="3" t="s">
        <v>6145</v>
      </c>
      <c r="B2654" s="3" t="s">
        <v>6146</v>
      </c>
    </row>
    <row r="2655" spans="1:2">
      <c r="A2655" s="3" t="s">
        <v>6147</v>
      </c>
      <c r="B2655" s="3" t="s">
        <v>6148</v>
      </c>
    </row>
    <row r="2656" spans="1:2">
      <c r="A2656" s="3" t="s">
        <v>6149</v>
      </c>
      <c r="B2656" s="3" t="s">
        <v>6150</v>
      </c>
    </row>
    <row r="2657" spans="1:2">
      <c r="A2657" s="3" t="s">
        <v>6151</v>
      </c>
      <c r="B2657" s="3" t="s">
        <v>6152</v>
      </c>
    </row>
    <row r="2658" spans="1:2">
      <c r="A2658" s="3" t="s">
        <v>6153</v>
      </c>
      <c r="B2658" s="3" t="s">
        <v>6154</v>
      </c>
    </row>
    <row r="2659" spans="1:2">
      <c r="A2659" s="3" t="s">
        <v>6155</v>
      </c>
      <c r="B2659" s="3" t="s">
        <v>6156</v>
      </c>
    </row>
    <row r="2660" spans="1:2">
      <c r="A2660" s="3" t="s">
        <v>6157</v>
      </c>
      <c r="B2660" s="3" t="s">
        <v>6158</v>
      </c>
    </row>
    <row r="2661" spans="1:2">
      <c r="A2661" s="3" t="s">
        <v>6159</v>
      </c>
      <c r="B2661" s="3" t="s">
        <v>6160</v>
      </c>
    </row>
    <row r="2662" spans="1:2">
      <c r="A2662" s="3" t="s">
        <v>6161</v>
      </c>
      <c r="B2662" s="3" t="s">
        <v>6162</v>
      </c>
    </row>
    <row r="2663" spans="1:2">
      <c r="A2663" s="3" t="s">
        <v>6163</v>
      </c>
      <c r="B2663" s="3" t="s">
        <v>6164</v>
      </c>
    </row>
    <row r="2664" spans="1:2">
      <c r="A2664" s="3" t="s">
        <v>6165</v>
      </c>
      <c r="B2664" s="3" t="s">
        <v>6166</v>
      </c>
    </row>
    <row r="2665" spans="1:2">
      <c r="A2665" s="3" t="s">
        <v>6167</v>
      </c>
      <c r="B2665" s="3" t="s">
        <v>6168</v>
      </c>
    </row>
    <row r="2666" spans="1:2">
      <c r="A2666" s="3" t="s">
        <v>6169</v>
      </c>
      <c r="B2666" s="3" t="s">
        <v>6170</v>
      </c>
    </row>
    <row r="2667" spans="1:2">
      <c r="A2667" s="3" t="s">
        <v>6171</v>
      </c>
      <c r="B2667" s="3" t="s">
        <v>6172</v>
      </c>
    </row>
    <row r="2668" spans="1:2">
      <c r="A2668" s="3" t="s">
        <v>6173</v>
      </c>
      <c r="B2668" s="3" t="s">
        <v>6174</v>
      </c>
    </row>
    <row r="2669" spans="1:2">
      <c r="A2669" s="3" t="s">
        <v>6175</v>
      </c>
      <c r="B2669" s="3" t="s">
        <v>6176</v>
      </c>
    </row>
    <row r="2670" spans="1:2">
      <c r="A2670" s="3" t="s">
        <v>6177</v>
      </c>
      <c r="B2670" s="3" t="s">
        <v>6178</v>
      </c>
    </row>
    <row r="2671" spans="1:2">
      <c r="A2671" s="3" t="s">
        <v>6179</v>
      </c>
      <c r="B2671" s="3" t="s">
        <v>6180</v>
      </c>
    </row>
    <row r="2672" spans="1:2">
      <c r="A2672" s="3" t="s">
        <v>6181</v>
      </c>
      <c r="B2672" s="3" t="s">
        <v>6182</v>
      </c>
    </row>
    <row r="2673" spans="1:2">
      <c r="A2673" s="3" t="s">
        <v>6183</v>
      </c>
      <c r="B2673" s="3" t="s">
        <v>6184</v>
      </c>
    </row>
    <row r="2674" spans="1:2">
      <c r="A2674" s="3" t="s">
        <v>6185</v>
      </c>
      <c r="B2674" s="3" t="s">
        <v>6186</v>
      </c>
    </row>
    <row r="2675" spans="1:2">
      <c r="A2675" s="3" t="s">
        <v>6187</v>
      </c>
      <c r="B2675" s="3" t="s">
        <v>6188</v>
      </c>
    </row>
    <row r="2676" spans="1:2">
      <c r="A2676" s="3" t="s">
        <v>6189</v>
      </c>
      <c r="B2676" s="3" t="s">
        <v>6190</v>
      </c>
    </row>
    <row r="2677" spans="1:2">
      <c r="A2677" s="3" t="s">
        <v>6191</v>
      </c>
      <c r="B2677" s="3" t="s">
        <v>6192</v>
      </c>
    </row>
    <row r="2678" spans="1:2">
      <c r="A2678" s="3" t="s">
        <v>6193</v>
      </c>
      <c r="B2678" s="3" t="s">
        <v>6194</v>
      </c>
    </row>
    <row r="2679" spans="1:2">
      <c r="A2679" s="3" t="s">
        <v>6195</v>
      </c>
      <c r="B2679" s="3" t="s">
        <v>6196</v>
      </c>
    </row>
    <row r="2680" spans="1:2">
      <c r="A2680" s="3" t="s">
        <v>6197</v>
      </c>
      <c r="B2680" s="3" t="s">
        <v>6198</v>
      </c>
    </row>
    <row r="2681" spans="1:2">
      <c r="A2681" s="3" t="s">
        <v>6199</v>
      </c>
      <c r="B2681" s="3" t="s">
        <v>6200</v>
      </c>
    </row>
    <row r="2682" spans="1:2">
      <c r="A2682" s="3" t="s">
        <v>6201</v>
      </c>
      <c r="B2682" s="3" t="s">
        <v>6202</v>
      </c>
    </row>
    <row r="2683" spans="1:2">
      <c r="A2683" s="3" t="s">
        <v>6203</v>
      </c>
      <c r="B2683" s="3" t="s">
        <v>6204</v>
      </c>
    </row>
    <row r="2684" spans="1:2">
      <c r="A2684" s="3" t="s">
        <v>6205</v>
      </c>
      <c r="B2684" s="3" t="s">
        <v>6206</v>
      </c>
    </row>
    <row r="2685" spans="1:2">
      <c r="A2685" s="3" t="s">
        <v>6207</v>
      </c>
      <c r="B2685" s="3" t="s">
        <v>6208</v>
      </c>
    </row>
    <row r="2686" spans="1:2">
      <c r="A2686" s="3" t="s">
        <v>6209</v>
      </c>
      <c r="B2686" s="3" t="s">
        <v>6210</v>
      </c>
    </row>
    <row r="2687" spans="1:2">
      <c r="A2687" s="3" t="s">
        <v>6211</v>
      </c>
      <c r="B2687" s="3" t="s">
        <v>6212</v>
      </c>
    </row>
    <row r="2688" spans="1:2">
      <c r="A2688" s="3" t="s">
        <v>6213</v>
      </c>
      <c r="B2688" s="3" t="s">
        <v>6214</v>
      </c>
    </row>
    <row r="2689" spans="1:2">
      <c r="A2689" s="3" t="s">
        <v>6215</v>
      </c>
      <c r="B2689" s="3" t="s">
        <v>6216</v>
      </c>
    </row>
    <row r="2690" spans="1:2">
      <c r="A2690" s="3" t="s">
        <v>6217</v>
      </c>
      <c r="B2690" s="3" t="s">
        <v>6218</v>
      </c>
    </row>
    <row r="2691" spans="1:2">
      <c r="A2691" s="3" t="s">
        <v>6219</v>
      </c>
      <c r="B2691" s="3" t="s">
        <v>6220</v>
      </c>
    </row>
    <row r="2692" spans="1:2">
      <c r="A2692" s="3" t="s">
        <v>6221</v>
      </c>
      <c r="B2692" s="3" t="s">
        <v>6222</v>
      </c>
    </row>
    <row r="2693" spans="1:2">
      <c r="A2693" s="3" t="s">
        <v>6223</v>
      </c>
      <c r="B2693" s="3" t="s">
        <v>6224</v>
      </c>
    </row>
    <row r="2694" spans="1:2">
      <c r="A2694" s="3" t="s">
        <v>6225</v>
      </c>
      <c r="B2694" s="3" t="s">
        <v>6226</v>
      </c>
    </row>
    <row r="2695" spans="1:2">
      <c r="A2695" s="3" t="s">
        <v>6227</v>
      </c>
      <c r="B2695" s="3" t="s">
        <v>6228</v>
      </c>
    </row>
    <row r="2696" spans="1:2">
      <c r="A2696" s="3" t="s">
        <v>6229</v>
      </c>
      <c r="B2696" s="3" t="s">
        <v>6230</v>
      </c>
    </row>
    <row r="2697" spans="1:2">
      <c r="A2697" s="3" t="s">
        <v>6231</v>
      </c>
      <c r="B2697" s="3" t="s">
        <v>6232</v>
      </c>
    </row>
    <row r="2698" spans="1:2">
      <c r="A2698" s="3" t="s">
        <v>6233</v>
      </c>
      <c r="B2698" s="3" t="s">
        <v>6234</v>
      </c>
    </row>
    <row r="2699" spans="1:2">
      <c r="A2699" s="3" t="s">
        <v>6235</v>
      </c>
      <c r="B2699" s="3" t="s">
        <v>6236</v>
      </c>
    </row>
    <row r="2700" spans="1:2">
      <c r="A2700" s="3" t="s">
        <v>6237</v>
      </c>
      <c r="B2700" s="3" t="s">
        <v>6238</v>
      </c>
    </row>
    <row r="2701" spans="1:2">
      <c r="A2701" s="3" t="s">
        <v>6239</v>
      </c>
      <c r="B2701" s="3" t="s">
        <v>6240</v>
      </c>
    </row>
    <row r="2702" spans="1:2">
      <c r="A2702" s="3" t="s">
        <v>6241</v>
      </c>
      <c r="B2702" s="3" t="s">
        <v>6242</v>
      </c>
    </row>
    <row r="2703" spans="1:2">
      <c r="A2703" s="3" t="s">
        <v>6243</v>
      </c>
      <c r="B2703" s="3" t="s">
        <v>6244</v>
      </c>
    </row>
    <row r="2704" spans="1:2">
      <c r="A2704" s="3" t="s">
        <v>6245</v>
      </c>
      <c r="B2704" s="3" t="s">
        <v>6246</v>
      </c>
    </row>
    <row r="2705" spans="1:2">
      <c r="A2705" s="3" t="s">
        <v>6247</v>
      </c>
      <c r="B2705" s="3" t="s">
        <v>6248</v>
      </c>
    </row>
    <row r="2706" spans="1:2">
      <c r="A2706" s="3" t="s">
        <v>6249</v>
      </c>
      <c r="B2706" s="3" t="s">
        <v>6250</v>
      </c>
    </row>
    <row r="2707" spans="1:2">
      <c r="A2707" s="3" t="s">
        <v>6251</v>
      </c>
      <c r="B2707" s="3" t="s">
        <v>6252</v>
      </c>
    </row>
    <row r="2708" spans="1:2">
      <c r="A2708" s="3" t="s">
        <v>6253</v>
      </c>
      <c r="B2708" s="3" t="s">
        <v>6254</v>
      </c>
    </row>
    <row r="2709" spans="1:2">
      <c r="A2709" s="3" t="s">
        <v>6255</v>
      </c>
      <c r="B2709" s="3" t="s">
        <v>6256</v>
      </c>
    </row>
    <row r="2710" spans="1:2">
      <c r="A2710" s="3" t="s">
        <v>6257</v>
      </c>
      <c r="B2710" s="3" t="s">
        <v>6258</v>
      </c>
    </row>
    <row r="2711" spans="1:2">
      <c r="A2711" s="3" t="s">
        <v>6259</v>
      </c>
      <c r="B2711" s="3" t="s">
        <v>6260</v>
      </c>
    </row>
    <row r="2712" spans="1:2">
      <c r="A2712" s="3" t="s">
        <v>6261</v>
      </c>
      <c r="B2712" s="3" t="s">
        <v>6262</v>
      </c>
    </row>
    <row r="2713" spans="1:2">
      <c r="A2713" s="3" t="s">
        <v>6263</v>
      </c>
      <c r="B2713" s="3" t="s">
        <v>6264</v>
      </c>
    </row>
    <row r="2714" spans="1:2">
      <c r="A2714" s="3" t="s">
        <v>6265</v>
      </c>
      <c r="B2714" s="3" t="s">
        <v>6266</v>
      </c>
    </row>
    <row r="2715" spans="1:2">
      <c r="A2715" s="3" t="s">
        <v>6267</v>
      </c>
      <c r="B2715" s="3" t="s">
        <v>6268</v>
      </c>
    </row>
    <row r="2716" spans="1:2">
      <c r="A2716" s="3" t="s">
        <v>6269</v>
      </c>
      <c r="B2716" s="3" t="s">
        <v>6270</v>
      </c>
    </row>
    <row r="2717" spans="1:2">
      <c r="A2717" s="3" t="s">
        <v>6271</v>
      </c>
      <c r="B2717" s="3" t="s">
        <v>6272</v>
      </c>
    </row>
    <row r="2718" spans="1:2">
      <c r="A2718" s="3" t="s">
        <v>6273</v>
      </c>
      <c r="B2718" s="3" t="s">
        <v>6274</v>
      </c>
    </row>
    <row r="2719" spans="1:2">
      <c r="A2719" s="3" t="s">
        <v>6275</v>
      </c>
      <c r="B2719" s="3" t="s">
        <v>6276</v>
      </c>
    </row>
    <row r="2720" spans="1:2">
      <c r="A2720" s="3" t="s">
        <v>6277</v>
      </c>
      <c r="B2720" s="3" t="s">
        <v>6278</v>
      </c>
    </row>
    <row r="2721" spans="1:2">
      <c r="A2721" s="3" t="s">
        <v>6279</v>
      </c>
      <c r="B2721" s="3" t="s">
        <v>6280</v>
      </c>
    </row>
    <row r="2722" spans="1:2">
      <c r="A2722" s="3" t="s">
        <v>6281</v>
      </c>
      <c r="B2722" s="3" t="s">
        <v>6282</v>
      </c>
    </row>
    <row r="2723" spans="1:2">
      <c r="A2723" s="3" t="s">
        <v>6283</v>
      </c>
      <c r="B2723" s="3" t="s">
        <v>6284</v>
      </c>
    </row>
    <row r="2724" spans="1:2">
      <c r="A2724" s="3" t="s">
        <v>6285</v>
      </c>
      <c r="B2724" s="3" t="s">
        <v>6286</v>
      </c>
    </row>
    <row r="2725" spans="1:2">
      <c r="A2725" s="3" t="s">
        <v>6287</v>
      </c>
      <c r="B2725" s="3" t="s">
        <v>6288</v>
      </c>
    </row>
    <row r="2726" spans="1:2">
      <c r="A2726" s="3" t="s">
        <v>6289</v>
      </c>
      <c r="B2726" s="3" t="s">
        <v>6290</v>
      </c>
    </row>
    <row r="2727" spans="1:2">
      <c r="A2727" s="3" t="s">
        <v>6291</v>
      </c>
      <c r="B2727" s="3" t="s">
        <v>6292</v>
      </c>
    </row>
    <row r="2728" spans="1:2">
      <c r="A2728" s="3" t="s">
        <v>6293</v>
      </c>
      <c r="B2728" s="3" t="s">
        <v>6294</v>
      </c>
    </row>
    <row r="2729" spans="1:2">
      <c r="A2729" s="3" t="s">
        <v>6295</v>
      </c>
      <c r="B2729" s="3" t="s">
        <v>6296</v>
      </c>
    </row>
    <row r="2730" spans="1:2">
      <c r="A2730" s="3" t="s">
        <v>6297</v>
      </c>
      <c r="B2730" s="3" t="s">
        <v>6298</v>
      </c>
    </row>
    <row r="2731" spans="1:2">
      <c r="A2731" s="3" t="s">
        <v>6299</v>
      </c>
      <c r="B2731" s="3" t="s">
        <v>6300</v>
      </c>
    </row>
    <row r="2732" spans="1:2">
      <c r="A2732" s="3" t="s">
        <v>6301</v>
      </c>
      <c r="B2732" s="3" t="s">
        <v>6302</v>
      </c>
    </row>
    <row r="2733" spans="1:2">
      <c r="A2733" s="3" t="s">
        <v>6303</v>
      </c>
      <c r="B2733" s="3" t="s">
        <v>6304</v>
      </c>
    </row>
    <row r="2734" spans="1:2">
      <c r="A2734" s="3" t="s">
        <v>6305</v>
      </c>
      <c r="B2734" s="3" t="s">
        <v>6306</v>
      </c>
    </row>
    <row r="2735" spans="1:2">
      <c r="A2735" s="3" t="s">
        <v>6307</v>
      </c>
      <c r="B2735" s="3" t="s">
        <v>6308</v>
      </c>
    </row>
    <row r="2736" spans="1:2">
      <c r="A2736" s="3" t="s">
        <v>6309</v>
      </c>
      <c r="B2736" s="3" t="s">
        <v>6310</v>
      </c>
    </row>
    <row r="2737" spans="1:2">
      <c r="A2737" s="3" t="s">
        <v>6311</v>
      </c>
      <c r="B2737" s="3" t="s">
        <v>6312</v>
      </c>
    </row>
    <row r="2738" spans="1:2">
      <c r="A2738" s="3" t="s">
        <v>6313</v>
      </c>
      <c r="B2738" s="3" t="s">
        <v>6314</v>
      </c>
    </row>
    <row r="2739" spans="1:2">
      <c r="A2739" s="3" t="s">
        <v>6315</v>
      </c>
      <c r="B2739" s="3" t="s">
        <v>6316</v>
      </c>
    </row>
    <row r="2740" spans="1:2">
      <c r="A2740" s="3" t="s">
        <v>6317</v>
      </c>
      <c r="B2740" s="3" t="s">
        <v>6318</v>
      </c>
    </row>
    <row r="2741" spans="1:2">
      <c r="A2741" s="3" t="s">
        <v>6319</v>
      </c>
      <c r="B2741" s="3" t="s">
        <v>6320</v>
      </c>
    </row>
    <row r="2742" spans="1:2">
      <c r="A2742" s="3" t="s">
        <v>6321</v>
      </c>
      <c r="B2742" s="3" t="s">
        <v>6322</v>
      </c>
    </row>
    <row r="2743" spans="1:2">
      <c r="A2743" s="3" t="s">
        <v>6323</v>
      </c>
      <c r="B2743" s="3" t="s">
        <v>6324</v>
      </c>
    </row>
    <row r="2744" spans="1:2">
      <c r="A2744" s="3" t="s">
        <v>6325</v>
      </c>
      <c r="B2744" s="3" t="s">
        <v>6326</v>
      </c>
    </row>
    <row r="2745" spans="1:2">
      <c r="A2745" s="3" t="s">
        <v>6327</v>
      </c>
      <c r="B2745" s="3" t="s">
        <v>6328</v>
      </c>
    </row>
    <row r="2746" spans="1:2">
      <c r="A2746" s="3" t="s">
        <v>6329</v>
      </c>
      <c r="B2746" s="3" t="s">
        <v>6330</v>
      </c>
    </row>
    <row r="2747" spans="1:2">
      <c r="A2747" s="3" t="s">
        <v>6331</v>
      </c>
      <c r="B2747" s="3" t="s">
        <v>6332</v>
      </c>
    </row>
    <row r="2748" spans="1:2">
      <c r="A2748" s="3" t="s">
        <v>6333</v>
      </c>
      <c r="B2748" s="3" t="s">
        <v>6334</v>
      </c>
    </row>
    <row r="2749" spans="1:2">
      <c r="A2749" s="3" t="s">
        <v>6335</v>
      </c>
      <c r="B2749" s="3" t="s">
        <v>6336</v>
      </c>
    </row>
    <row r="2750" spans="1:2">
      <c r="A2750" s="3" t="s">
        <v>6337</v>
      </c>
      <c r="B2750" s="3" t="s">
        <v>6338</v>
      </c>
    </row>
    <row r="2751" spans="1:2">
      <c r="A2751" s="3" t="s">
        <v>6339</v>
      </c>
      <c r="B2751" s="3" t="s">
        <v>6340</v>
      </c>
    </row>
    <row r="2752" spans="1:2">
      <c r="A2752" s="3" t="s">
        <v>6341</v>
      </c>
      <c r="B2752" s="3" t="s">
        <v>6342</v>
      </c>
    </row>
    <row r="2753" spans="1:2">
      <c r="A2753" s="3" t="s">
        <v>6343</v>
      </c>
      <c r="B2753" s="3" t="s">
        <v>6344</v>
      </c>
    </row>
    <row r="2754" spans="1:2">
      <c r="A2754" s="3" t="s">
        <v>6345</v>
      </c>
      <c r="B2754" s="3" t="s">
        <v>6346</v>
      </c>
    </row>
    <row r="2755" spans="1:2">
      <c r="A2755" s="3" t="s">
        <v>6347</v>
      </c>
      <c r="B2755" s="3" t="s">
        <v>6348</v>
      </c>
    </row>
    <row r="2756" spans="1:2">
      <c r="A2756" s="3" t="s">
        <v>6349</v>
      </c>
      <c r="B2756" s="3" t="s">
        <v>6350</v>
      </c>
    </row>
    <row r="2757" spans="1:2">
      <c r="A2757" s="3" t="s">
        <v>6351</v>
      </c>
      <c r="B2757" s="3" t="s">
        <v>6352</v>
      </c>
    </row>
    <row r="2758" spans="1:2">
      <c r="A2758" s="3" t="s">
        <v>6353</v>
      </c>
      <c r="B2758" s="3" t="s">
        <v>6354</v>
      </c>
    </row>
    <row r="2759" spans="1:2">
      <c r="A2759" s="3" t="s">
        <v>6355</v>
      </c>
      <c r="B2759" s="3" t="s">
        <v>6356</v>
      </c>
    </row>
    <row r="2760" spans="1:2">
      <c r="A2760" s="3" t="s">
        <v>463</v>
      </c>
      <c r="B2760" s="3" t="s">
        <v>6357</v>
      </c>
    </row>
    <row r="2761" spans="1:2">
      <c r="A2761" s="3" t="s">
        <v>6358</v>
      </c>
      <c r="B2761" s="3" t="s">
        <v>6359</v>
      </c>
    </row>
    <row r="2762" spans="1:2">
      <c r="A2762" s="3" t="s">
        <v>6360</v>
      </c>
      <c r="B2762" s="3" t="s">
        <v>6361</v>
      </c>
    </row>
    <row r="2763" spans="1:2">
      <c r="A2763" s="3" t="s">
        <v>6362</v>
      </c>
      <c r="B2763" s="3" t="s">
        <v>6363</v>
      </c>
    </row>
    <row r="2764" spans="1:2">
      <c r="A2764" s="3" t="s">
        <v>6364</v>
      </c>
      <c r="B2764" s="3" t="s">
        <v>6365</v>
      </c>
    </row>
    <row r="2765" spans="1:2">
      <c r="A2765" s="3" t="s">
        <v>6366</v>
      </c>
      <c r="B2765" s="3" t="s">
        <v>6367</v>
      </c>
    </row>
    <row r="2766" spans="1:2">
      <c r="A2766" s="3" t="s">
        <v>6368</v>
      </c>
      <c r="B2766" s="3" t="s">
        <v>6369</v>
      </c>
    </row>
    <row r="2767" spans="1:2">
      <c r="A2767" s="3" t="s">
        <v>6370</v>
      </c>
      <c r="B2767" s="3" t="s">
        <v>6371</v>
      </c>
    </row>
    <row r="2768" spans="1:2">
      <c r="A2768" s="3" t="s">
        <v>6372</v>
      </c>
      <c r="B2768" s="3" t="s">
        <v>6373</v>
      </c>
    </row>
    <row r="2769" spans="1:2">
      <c r="A2769" s="3" t="s">
        <v>6374</v>
      </c>
      <c r="B2769" s="3" t="s">
        <v>6375</v>
      </c>
    </row>
    <row r="2770" spans="1:2">
      <c r="A2770" s="3" t="s">
        <v>6376</v>
      </c>
      <c r="B2770" s="3" t="s">
        <v>6377</v>
      </c>
    </row>
    <row r="2771" spans="1:2">
      <c r="A2771" s="3" t="s">
        <v>6378</v>
      </c>
      <c r="B2771" s="3" t="s">
        <v>6379</v>
      </c>
    </row>
    <row r="2772" spans="1:2">
      <c r="A2772" s="3" t="s">
        <v>6380</v>
      </c>
      <c r="B2772" s="3" t="s">
        <v>6381</v>
      </c>
    </row>
    <row r="2773" spans="1:2">
      <c r="A2773" s="3" t="s">
        <v>6382</v>
      </c>
      <c r="B2773" s="3" t="s">
        <v>6383</v>
      </c>
    </row>
    <row r="2774" spans="1:2">
      <c r="A2774" s="3" t="s">
        <v>6384</v>
      </c>
      <c r="B2774" s="3" t="s">
        <v>6385</v>
      </c>
    </row>
    <row r="2775" spans="1:2">
      <c r="A2775" s="3" t="s">
        <v>6386</v>
      </c>
      <c r="B2775" s="3" t="s">
        <v>6387</v>
      </c>
    </row>
    <row r="2776" spans="1:2">
      <c r="A2776" s="3" t="s">
        <v>6388</v>
      </c>
      <c r="B2776" s="3" t="s">
        <v>6389</v>
      </c>
    </row>
    <row r="2777" spans="1:2">
      <c r="A2777" s="3" t="s">
        <v>6390</v>
      </c>
      <c r="B2777" s="3" t="s">
        <v>6391</v>
      </c>
    </row>
    <row r="2778" spans="1:2">
      <c r="A2778" s="3" t="s">
        <v>6392</v>
      </c>
      <c r="B2778" s="3" t="s">
        <v>6393</v>
      </c>
    </row>
    <row r="2779" spans="1:2">
      <c r="A2779" s="3" t="s">
        <v>6394</v>
      </c>
      <c r="B2779" s="3" t="s">
        <v>6395</v>
      </c>
    </row>
    <row r="2780" spans="1:2">
      <c r="A2780" s="3" t="s">
        <v>6396</v>
      </c>
      <c r="B2780" s="3" t="s">
        <v>6397</v>
      </c>
    </row>
    <row r="2781" spans="1:2">
      <c r="A2781" s="3" t="s">
        <v>6398</v>
      </c>
      <c r="B2781" s="3" t="s">
        <v>6399</v>
      </c>
    </row>
    <row r="2782" spans="1:2">
      <c r="A2782" s="3" t="s">
        <v>6400</v>
      </c>
      <c r="B2782" s="3" t="s">
        <v>6401</v>
      </c>
    </row>
    <row r="2783" spans="1:2">
      <c r="A2783" s="3" t="s">
        <v>6402</v>
      </c>
      <c r="B2783" s="3" t="s">
        <v>6403</v>
      </c>
    </row>
    <row r="2784" spans="1:2">
      <c r="A2784" s="3" t="s">
        <v>6404</v>
      </c>
      <c r="B2784" s="3" t="s">
        <v>6405</v>
      </c>
    </row>
    <row r="2785" spans="1:2">
      <c r="A2785" s="3" t="s">
        <v>6406</v>
      </c>
      <c r="B2785" s="3" t="s">
        <v>6407</v>
      </c>
    </row>
    <row r="2786" spans="1:2">
      <c r="A2786" s="3" t="s">
        <v>6408</v>
      </c>
      <c r="B2786" s="3" t="s">
        <v>6409</v>
      </c>
    </row>
    <row r="2787" spans="1:2">
      <c r="A2787" s="3" t="s">
        <v>6410</v>
      </c>
      <c r="B2787" s="3" t="s">
        <v>6411</v>
      </c>
    </row>
    <row r="2788" spans="1:2">
      <c r="A2788" s="3" t="s">
        <v>6412</v>
      </c>
      <c r="B2788" s="3" t="s">
        <v>6413</v>
      </c>
    </row>
    <row r="2789" spans="1:2">
      <c r="A2789" s="3" t="s">
        <v>6414</v>
      </c>
      <c r="B2789" s="3" t="s">
        <v>6415</v>
      </c>
    </row>
    <row r="2790" spans="1:2">
      <c r="A2790" s="3" t="s">
        <v>6416</v>
      </c>
      <c r="B2790" s="3" t="s">
        <v>6417</v>
      </c>
    </row>
    <row r="2791" spans="1:2">
      <c r="A2791" s="3" t="s">
        <v>6418</v>
      </c>
      <c r="B2791" s="3" t="s">
        <v>6419</v>
      </c>
    </row>
    <row r="2792" spans="1:2">
      <c r="A2792" s="3" t="s">
        <v>6420</v>
      </c>
      <c r="B2792" s="3" t="s">
        <v>6421</v>
      </c>
    </row>
    <row r="2793" spans="1:2">
      <c r="A2793" s="3" t="s">
        <v>6422</v>
      </c>
      <c r="B2793" s="3" t="s">
        <v>6423</v>
      </c>
    </row>
    <row r="2794" spans="1:2">
      <c r="A2794" s="3" t="s">
        <v>6424</v>
      </c>
      <c r="B2794" s="3" t="s">
        <v>6425</v>
      </c>
    </row>
    <row r="2795" spans="1:2">
      <c r="A2795" s="3" t="s">
        <v>6426</v>
      </c>
      <c r="B2795" s="3" t="s">
        <v>6427</v>
      </c>
    </row>
    <row r="2796" spans="1:2">
      <c r="A2796" s="3" t="s">
        <v>6428</v>
      </c>
      <c r="B2796" s="3" t="s">
        <v>6429</v>
      </c>
    </row>
    <row r="2797" spans="1:2">
      <c r="A2797" s="3" t="s">
        <v>6430</v>
      </c>
      <c r="B2797" s="3" t="s">
        <v>6431</v>
      </c>
    </row>
    <row r="2798" spans="1:2">
      <c r="A2798" s="3" t="s">
        <v>6432</v>
      </c>
      <c r="B2798" s="3" t="s">
        <v>6433</v>
      </c>
    </row>
    <row r="2799" spans="1:2">
      <c r="A2799" s="3" t="s">
        <v>6434</v>
      </c>
      <c r="B2799" s="3" t="s">
        <v>6435</v>
      </c>
    </row>
    <row r="2800" spans="1:2">
      <c r="A2800" s="3" t="s">
        <v>6436</v>
      </c>
      <c r="B2800" s="3" t="s">
        <v>6437</v>
      </c>
    </row>
    <row r="2801" spans="1:2">
      <c r="A2801" s="3" t="s">
        <v>6438</v>
      </c>
      <c r="B2801" s="3" t="s">
        <v>6439</v>
      </c>
    </row>
    <row r="2802" spans="1:2">
      <c r="A2802" s="3" t="s">
        <v>6440</v>
      </c>
      <c r="B2802" s="3" t="s">
        <v>6441</v>
      </c>
    </row>
    <row r="2803" spans="1:2">
      <c r="A2803" s="3" t="s">
        <v>6442</v>
      </c>
      <c r="B2803" s="3" t="s">
        <v>6443</v>
      </c>
    </row>
    <row r="2804" spans="1:2">
      <c r="A2804" s="3" t="s">
        <v>6444</v>
      </c>
      <c r="B2804" s="3" t="s">
        <v>6445</v>
      </c>
    </row>
    <row r="2805" spans="1:2">
      <c r="A2805" s="3" t="s">
        <v>6446</v>
      </c>
      <c r="B2805" s="3" t="s">
        <v>6447</v>
      </c>
    </row>
    <row r="2806" spans="1:2">
      <c r="A2806" s="3" t="s">
        <v>6448</v>
      </c>
      <c r="B2806" s="3" t="s">
        <v>6449</v>
      </c>
    </row>
    <row r="2807" spans="1:2">
      <c r="A2807" s="3" t="s">
        <v>6450</v>
      </c>
      <c r="B2807" s="3" t="s">
        <v>6451</v>
      </c>
    </row>
    <row r="2808" spans="1:2">
      <c r="A2808" s="3" t="s">
        <v>6452</v>
      </c>
      <c r="B2808" s="3" t="s">
        <v>6453</v>
      </c>
    </row>
    <row r="2809" spans="1:2">
      <c r="A2809" s="3" t="s">
        <v>6454</v>
      </c>
      <c r="B2809" s="3" t="s">
        <v>6455</v>
      </c>
    </row>
    <row r="2810" spans="1:2">
      <c r="A2810" s="3" t="s">
        <v>6456</v>
      </c>
      <c r="B2810" s="3" t="s">
        <v>6457</v>
      </c>
    </row>
    <row r="2811" spans="1:2">
      <c r="A2811" s="3" t="s">
        <v>6458</v>
      </c>
      <c r="B2811" s="3" t="s">
        <v>6459</v>
      </c>
    </row>
    <row r="2812" spans="1:2">
      <c r="A2812" s="3" t="s">
        <v>6460</v>
      </c>
      <c r="B2812" s="3" t="s">
        <v>6461</v>
      </c>
    </row>
    <row r="2813" spans="1:2">
      <c r="A2813" s="3" t="s">
        <v>6462</v>
      </c>
      <c r="B2813" s="3" t="s">
        <v>6463</v>
      </c>
    </row>
    <row r="2814" spans="1:2">
      <c r="A2814" s="3" t="s">
        <v>6464</v>
      </c>
      <c r="B2814" s="3" t="s">
        <v>6465</v>
      </c>
    </row>
    <row r="2815" spans="1:2">
      <c r="A2815" s="3" t="s">
        <v>6466</v>
      </c>
      <c r="B2815" s="3" t="s">
        <v>6467</v>
      </c>
    </row>
    <row r="2816" spans="1:2">
      <c r="A2816" s="3" t="s">
        <v>6468</v>
      </c>
      <c r="B2816" s="3" t="s">
        <v>6469</v>
      </c>
    </row>
    <row r="2817" spans="1:2">
      <c r="A2817" s="3" t="s">
        <v>6470</v>
      </c>
      <c r="B2817" s="3" t="s">
        <v>6471</v>
      </c>
    </row>
    <row r="2818" spans="1:2">
      <c r="A2818" s="3" t="s">
        <v>6472</v>
      </c>
      <c r="B2818" s="3" t="s">
        <v>6473</v>
      </c>
    </row>
    <row r="2819" spans="1:2">
      <c r="A2819" s="3" t="s">
        <v>6474</v>
      </c>
      <c r="B2819" s="3" t="s">
        <v>6475</v>
      </c>
    </row>
    <row r="2820" spans="1:2">
      <c r="A2820" s="3" t="s">
        <v>6476</v>
      </c>
      <c r="B2820" s="3" t="s">
        <v>6477</v>
      </c>
    </row>
    <row r="2821" spans="1:2">
      <c r="A2821" s="3" t="s">
        <v>6478</v>
      </c>
      <c r="B2821" s="3" t="s">
        <v>6479</v>
      </c>
    </row>
    <row r="2822" spans="1:2">
      <c r="A2822" s="3" t="s">
        <v>6480</v>
      </c>
      <c r="B2822" s="3" t="s">
        <v>6481</v>
      </c>
    </row>
    <row r="2823" spans="1:2">
      <c r="A2823" s="3" t="s">
        <v>6482</v>
      </c>
      <c r="B2823" s="3" t="s">
        <v>6483</v>
      </c>
    </row>
    <row r="2824" spans="1:2">
      <c r="A2824" s="3" t="s">
        <v>6484</v>
      </c>
      <c r="B2824" s="3" t="s">
        <v>6485</v>
      </c>
    </row>
    <row r="2825" spans="1:2">
      <c r="A2825" s="3" t="s">
        <v>6486</v>
      </c>
      <c r="B2825" s="3" t="s">
        <v>6487</v>
      </c>
    </row>
    <row r="2826" spans="1:2">
      <c r="A2826" s="3" t="s">
        <v>6488</v>
      </c>
      <c r="B2826" s="3" t="s">
        <v>6489</v>
      </c>
    </row>
    <row r="2827" spans="1:2">
      <c r="A2827" s="3" t="s">
        <v>6490</v>
      </c>
      <c r="B2827" s="3" t="s">
        <v>6491</v>
      </c>
    </row>
    <row r="2828" spans="1:2">
      <c r="A2828" s="3" t="s">
        <v>6492</v>
      </c>
      <c r="B2828" s="3" t="s">
        <v>6493</v>
      </c>
    </row>
    <row r="2829" spans="1:2">
      <c r="A2829" s="3" t="s">
        <v>6494</v>
      </c>
      <c r="B2829" s="3" t="s">
        <v>6495</v>
      </c>
    </row>
    <row r="2830" spans="1:2">
      <c r="A2830" s="3" t="s">
        <v>6496</v>
      </c>
      <c r="B2830" s="3" t="s">
        <v>6497</v>
      </c>
    </row>
    <row r="2831" spans="1:2">
      <c r="A2831" s="3" t="s">
        <v>6498</v>
      </c>
      <c r="B2831" s="3" t="s">
        <v>6499</v>
      </c>
    </row>
    <row r="2832" spans="1:2">
      <c r="A2832" s="3" t="s">
        <v>6500</v>
      </c>
      <c r="B2832" s="3" t="s">
        <v>6501</v>
      </c>
    </row>
    <row r="2833" spans="1:2">
      <c r="A2833" s="3" t="s">
        <v>6502</v>
      </c>
      <c r="B2833" s="3" t="s">
        <v>6503</v>
      </c>
    </row>
    <row r="2834" spans="1:2">
      <c r="A2834" s="3" t="s">
        <v>6504</v>
      </c>
      <c r="B2834" s="3" t="s">
        <v>6505</v>
      </c>
    </row>
    <row r="2835" spans="1:2">
      <c r="A2835" s="3" t="s">
        <v>6506</v>
      </c>
      <c r="B2835" s="3" t="s">
        <v>6507</v>
      </c>
    </row>
    <row r="2836" spans="1:2">
      <c r="A2836" s="3" t="s">
        <v>6508</v>
      </c>
      <c r="B2836" s="3" t="s">
        <v>6509</v>
      </c>
    </row>
    <row r="2837" spans="1:2">
      <c r="A2837" s="3" t="s">
        <v>6510</v>
      </c>
      <c r="B2837" s="3" t="s">
        <v>6511</v>
      </c>
    </row>
    <row r="2838" spans="1:2">
      <c r="A2838" s="3" t="s">
        <v>6512</v>
      </c>
      <c r="B2838" s="3" t="s">
        <v>6513</v>
      </c>
    </row>
    <row r="2839" spans="1:2">
      <c r="A2839" s="3" t="s">
        <v>6514</v>
      </c>
      <c r="B2839" s="3" t="s">
        <v>6515</v>
      </c>
    </row>
    <row r="2840" spans="1:2">
      <c r="A2840" s="3" t="s">
        <v>6516</v>
      </c>
      <c r="B2840" s="3" t="s">
        <v>6517</v>
      </c>
    </row>
    <row r="2841" spans="1:2">
      <c r="A2841" s="3" t="s">
        <v>6518</v>
      </c>
      <c r="B2841" s="3" t="s">
        <v>6519</v>
      </c>
    </row>
    <row r="2842" spans="1:2">
      <c r="A2842" s="3" t="s">
        <v>6520</v>
      </c>
      <c r="B2842" s="3" t="s">
        <v>6521</v>
      </c>
    </row>
    <row r="2843" spans="1:2">
      <c r="A2843" s="3" t="s">
        <v>6522</v>
      </c>
      <c r="B2843" s="3" t="s">
        <v>6523</v>
      </c>
    </row>
    <row r="2844" spans="1:2">
      <c r="A2844" s="3" t="s">
        <v>6524</v>
      </c>
      <c r="B2844" s="3" t="s">
        <v>6525</v>
      </c>
    </row>
    <row r="2845" spans="1:2">
      <c r="A2845" s="3" t="s">
        <v>6526</v>
      </c>
      <c r="B2845" s="3" t="s">
        <v>6527</v>
      </c>
    </row>
    <row r="2846" spans="1:2">
      <c r="A2846" s="3" t="s">
        <v>6528</v>
      </c>
      <c r="B2846" s="3" t="s">
        <v>6529</v>
      </c>
    </row>
    <row r="2847" spans="1:2">
      <c r="A2847" s="3" t="s">
        <v>6530</v>
      </c>
      <c r="B2847" s="3" t="s">
        <v>6531</v>
      </c>
    </row>
    <row r="2848" spans="1:2">
      <c r="A2848" s="3" t="s">
        <v>6532</v>
      </c>
      <c r="B2848" s="3" t="s">
        <v>6533</v>
      </c>
    </row>
    <row r="2849" spans="1:2">
      <c r="A2849" s="3" t="s">
        <v>6534</v>
      </c>
      <c r="B2849" s="3" t="s">
        <v>6535</v>
      </c>
    </row>
    <row r="2850" spans="1:2">
      <c r="A2850" s="3" t="s">
        <v>6536</v>
      </c>
      <c r="B2850" s="3" t="s">
        <v>6537</v>
      </c>
    </row>
    <row r="2851" spans="1:2">
      <c r="A2851" s="3" t="s">
        <v>6538</v>
      </c>
      <c r="B2851" s="3" t="s">
        <v>6539</v>
      </c>
    </row>
    <row r="2852" spans="1:2">
      <c r="A2852" s="3" t="s">
        <v>6540</v>
      </c>
      <c r="B2852" s="3" t="s">
        <v>6541</v>
      </c>
    </row>
    <row r="2853" spans="1:2">
      <c r="A2853" s="3" t="s">
        <v>6542</v>
      </c>
      <c r="B2853" s="3" t="s">
        <v>6543</v>
      </c>
    </row>
    <row r="2854" spans="1:2">
      <c r="A2854" s="3" t="s">
        <v>6544</v>
      </c>
      <c r="B2854" s="3" t="s">
        <v>6545</v>
      </c>
    </row>
    <row r="2855" spans="1:2">
      <c r="A2855" s="3" t="s">
        <v>6546</v>
      </c>
      <c r="B2855" s="3" t="s">
        <v>6547</v>
      </c>
    </row>
    <row r="2856" spans="1:2">
      <c r="A2856" s="3" t="s">
        <v>465</v>
      </c>
      <c r="B2856" s="3" t="s">
        <v>6548</v>
      </c>
    </row>
    <row r="2857" spans="1:2">
      <c r="A2857" s="3" t="s">
        <v>6549</v>
      </c>
      <c r="B2857" s="3" t="s">
        <v>6550</v>
      </c>
    </row>
    <row r="2858" spans="1:2">
      <c r="A2858" s="3" t="s">
        <v>6551</v>
      </c>
      <c r="B2858" s="3" t="s">
        <v>6552</v>
      </c>
    </row>
    <row r="2859" spans="1:2">
      <c r="A2859" s="3" t="s">
        <v>6553</v>
      </c>
      <c r="B2859" s="3" t="s">
        <v>6554</v>
      </c>
    </row>
    <row r="2860" spans="1:2">
      <c r="A2860" s="3" t="s">
        <v>6555</v>
      </c>
      <c r="B2860" s="3" t="s">
        <v>6556</v>
      </c>
    </row>
    <row r="2861" spans="1:2">
      <c r="A2861" s="3" t="s">
        <v>6557</v>
      </c>
      <c r="B2861" s="3" t="s">
        <v>6558</v>
      </c>
    </row>
    <row r="2862" spans="1:2">
      <c r="A2862" s="3" t="s">
        <v>6559</v>
      </c>
      <c r="B2862" s="3" t="s">
        <v>6560</v>
      </c>
    </row>
    <row r="2863" spans="1:2">
      <c r="A2863" s="3" t="s">
        <v>6561</v>
      </c>
      <c r="B2863" s="3" t="s">
        <v>6562</v>
      </c>
    </row>
    <row r="2864" spans="1:2">
      <c r="A2864" s="3" t="s">
        <v>6563</v>
      </c>
      <c r="B2864" s="3" t="s">
        <v>6564</v>
      </c>
    </row>
    <row r="2865" spans="1:2">
      <c r="A2865" s="3" t="s">
        <v>6565</v>
      </c>
      <c r="B2865" s="3" t="s">
        <v>6566</v>
      </c>
    </row>
    <row r="2866" spans="1:2">
      <c r="A2866" s="3" t="s">
        <v>6567</v>
      </c>
      <c r="B2866" s="3" t="s">
        <v>6568</v>
      </c>
    </row>
    <row r="2867" spans="1:2">
      <c r="A2867" s="3" t="s">
        <v>6569</v>
      </c>
      <c r="B2867" s="3" t="s">
        <v>6570</v>
      </c>
    </row>
    <row r="2868" spans="1:2">
      <c r="A2868" s="3" t="s">
        <v>6571</v>
      </c>
      <c r="B2868" s="3" t="s">
        <v>6572</v>
      </c>
    </row>
    <row r="2869" spans="1:2">
      <c r="A2869" s="3" t="s">
        <v>6573</v>
      </c>
      <c r="B2869" s="3" t="s">
        <v>6574</v>
      </c>
    </row>
    <row r="2870" spans="1:2">
      <c r="A2870" s="3" t="s">
        <v>6575</v>
      </c>
      <c r="B2870" s="3" t="s">
        <v>6576</v>
      </c>
    </row>
    <row r="2871" spans="1:2">
      <c r="A2871" s="3" t="s">
        <v>6577</v>
      </c>
      <c r="B2871" s="3" t="s">
        <v>6578</v>
      </c>
    </row>
    <row r="2872" spans="1:2">
      <c r="A2872" s="3" t="s">
        <v>6579</v>
      </c>
      <c r="B2872" s="3" t="s">
        <v>6580</v>
      </c>
    </row>
    <row r="2873" spans="1:2">
      <c r="A2873" s="3" t="s">
        <v>6581</v>
      </c>
      <c r="B2873" s="3" t="s">
        <v>6582</v>
      </c>
    </row>
    <row r="2874" spans="1:2">
      <c r="A2874" s="3" t="s">
        <v>6583</v>
      </c>
      <c r="B2874" s="3" t="s">
        <v>6584</v>
      </c>
    </row>
    <row r="2875" spans="1:2">
      <c r="A2875" s="3" t="s">
        <v>6585</v>
      </c>
      <c r="B2875" s="3" t="s">
        <v>6586</v>
      </c>
    </row>
    <row r="2876" spans="1:2">
      <c r="A2876" s="3" t="s">
        <v>6587</v>
      </c>
      <c r="B2876" s="3" t="s">
        <v>6588</v>
      </c>
    </row>
    <row r="2877" spans="1:2">
      <c r="A2877" s="3" t="s">
        <v>6589</v>
      </c>
      <c r="B2877" s="3" t="s">
        <v>6590</v>
      </c>
    </row>
    <row r="2878" spans="1:2">
      <c r="A2878" s="3" t="s">
        <v>6591</v>
      </c>
      <c r="B2878" s="3" t="s">
        <v>6592</v>
      </c>
    </row>
    <row r="2879" spans="1:2">
      <c r="A2879" s="3" t="s">
        <v>6593</v>
      </c>
      <c r="B2879" s="3" t="s">
        <v>6594</v>
      </c>
    </row>
    <row r="2880" spans="1:2">
      <c r="A2880" s="3" t="s">
        <v>6595</v>
      </c>
      <c r="B2880" s="3" t="s">
        <v>6596</v>
      </c>
    </row>
    <row r="2881" spans="1:2">
      <c r="A2881" s="3" t="s">
        <v>6597</v>
      </c>
      <c r="B2881" s="3" t="s">
        <v>6598</v>
      </c>
    </row>
    <row r="2882" spans="1:2">
      <c r="A2882" s="3" t="s">
        <v>6599</v>
      </c>
      <c r="B2882" s="3" t="s">
        <v>6600</v>
      </c>
    </row>
    <row r="2883" spans="1:2">
      <c r="A2883" s="3" t="s">
        <v>6601</v>
      </c>
      <c r="B2883" s="3" t="s">
        <v>6602</v>
      </c>
    </row>
    <row r="2884" spans="1:2">
      <c r="A2884" s="3" t="s">
        <v>6603</v>
      </c>
      <c r="B2884" s="3" t="s">
        <v>6604</v>
      </c>
    </row>
    <row r="2885" spans="1:2">
      <c r="A2885" s="3" t="s">
        <v>6605</v>
      </c>
      <c r="B2885" s="3" t="s">
        <v>6606</v>
      </c>
    </row>
    <row r="2886" spans="1:2">
      <c r="A2886" s="3" t="s">
        <v>6607</v>
      </c>
      <c r="B2886" s="3" t="s">
        <v>6608</v>
      </c>
    </row>
    <row r="2887" spans="1:2">
      <c r="A2887" s="3" t="s">
        <v>6609</v>
      </c>
      <c r="B2887" s="3" t="s">
        <v>6610</v>
      </c>
    </row>
    <row r="2888" spans="1:2">
      <c r="A2888" s="3" t="s">
        <v>6611</v>
      </c>
      <c r="B2888" s="3" t="s">
        <v>6612</v>
      </c>
    </row>
    <row r="2889" spans="1:2">
      <c r="A2889" s="3" t="s">
        <v>6613</v>
      </c>
      <c r="B2889" s="3" t="s">
        <v>6614</v>
      </c>
    </row>
    <row r="2890" spans="1:2">
      <c r="A2890" s="3" t="s">
        <v>6615</v>
      </c>
      <c r="B2890" s="3" t="s">
        <v>6616</v>
      </c>
    </row>
    <row r="2891" spans="1:2">
      <c r="A2891" s="3" t="s">
        <v>6617</v>
      </c>
      <c r="B2891" s="3" t="s">
        <v>6618</v>
      </c>
    </row>
    <row r="2892" spans="1:2">
      <c r="A2892" s="3" t="s">
        <v>6619</v>
      </c>
      <c r="B2892" s="3" t="s">
        <v>6620</v>
      </c>
    </row>
    <row r="2893" spans="1:2">
      <c r="A2893" s="3" t="s">
        <v>6621</v>
      </c>
      <c r="B2893" s="3" t="s">
        <v>6622</v>
      </c>
    </row>
    <row r="2894" spans="1:2">
      <c r="A2894" s="3" t="s">
        <v>6623</v>
      </c>
      <c r="B2894" s="3" t="s">
        <v>6624</v>
      </c>
    </row>
    <row r="2895" spans="1:2">
      <c r="A2895" s="3" t="s">
        <v>6625</v>
      </c>
      <c r="B2895" s="3" t="s">
        <v>6626</v>
      </c>
    </row>
    <row r="2896" spans="1:2">
      <c r="A2896" s="3" t="s">
        <v>6627</v>
      </c>
      <c r="B2896" s="3" t="s">
        <v>6628</v>
      </c>
    </row>
    <row r="2897" spans="1:2">
      <c r="A2897" s="3" t="s">
        <v>6629</v>
      </c>
      <c r="B2897" s="3" t="s">
        <v>6630</v>
      </c>
    </row>
    <row r="2898" spans="1:2">
      <c r="A2898" s="3" t="s">
        <v>6631</v>
      </c>
      <c r="B2898" s="3" t="s">
        <v>6632</v>
      </c>
    </row>
    <row r="2899" spans="1:2">
      <c r="A2899" s="3" t="s">
        <v>6633</v>
      </c>
      <c r="B2899" s="3" t="s">
        <v>6634</v>
      </c>
    </row>
    <row r="2900" spans="1:2">
      <c r="A2900" s="3" t="s">
        <v>6635</v>
      </c>
      <c r="B2900" s="3" t="s">
        <v>6636</v>
      </c>
    </row>
    <row r="2901" spans="1:2">
      <c r="A2901" s="3" t="s">
        <v>6637</v>
      </c>
      <c r="B2901" s="3" t="s">
        <v>6638</v>
      </c>
    </row>
    <row r="2902" spans="1:2">
      <c r="A2902" s="3" t="s">
        <v>6639</v>
      </c>
      <c r="B2902" s="3" t="s">
        <v>6640</v>
      </c>
    </row>
    <row r="2903" spans="1:2">
      <c r="A2903" s="3" t="s">
        <v>6641</v>
      </c>
      <c r="B2903" s="3" t="s">
        <v>6642</v>
      </c>
    </row>
    <row r="2904" spans="1:2">
      <c r="A2904" s="3" t="s">
        <v>6643</v>
      </c>
      <c r="B2904" s="3" t="s">
        <v>6644</v>
      </c>
    </row>
    <row r="2905" spans="1:2">
      <c r="A2905" s="3" t="s">
        <v>6645</v>
      </c>
      <c r="B2905" s="3" t="s">
        <v>6646</v>
      </c>
    </row>
    <row r="2906" spans="1:2">
      <c r="A2906" s="3" t="s">
        <v>6647</v>
      </c>
      <c r="B2906" s="3" t="s">
        <v>6648</v>
      </c>
    </row>
    <row r="2907" spans="1:2">
      <c r="A2907" s="3" t="s">
        <v>6649</v>
      </c>
      <c r="B2907" s="3" t="s">
        <v>6650</v>
      </c>
    </row>
    <row r="2908" spans="1:2">
      <c r="A2908" s="3" t="s">
        <v>6651</v>
      </c>
      <c r="B2908" s="3" t="s">
        <v>6652</v>
      </c>
    </row>
    <row r="2909" spans="1:2">
      <c r="A2909" s="3" t="s">
        <v>6653</v>
      </c>
      <c r="B2909" s="3" t="s">
        <v>6654</v>
      </c>
    </row>
    <row r="2910" spans="1:2">
      <c r="A2910" s="3" t="s">
        <v>6655</v>
      </c>
      <c r="B2910" s="3" t="s">
        <v>6656</v>
      </c>
    </row>
    <row r="2911" spans="1:2">
      <c r="A2911" s="3" t="s">
        <v>6657</v>
      </c>
      <c r="B2911" s="3" t="s">
        <v>6658</v>
      </c>
    </row>
    <row r="2912" spans="1:2">
      <c r="A2912" s="3" t="s">
        <v>6659</v>
      </c>
      <c r="B2912" s="3" t="s">
        <v>6660</v>
      </c>
    </row>
    <row r="2913" spans="1:2">
      <c r="A2913" s="3" t="s">
        <v>6661</v>
      </c>
      <c r="B2913" s="3" t="s">
        <v>6662</v>
      </c>
    </row>
    <row r="2914" spans="1:2">
      <c r="A2914" s="3" t="s">
        <v>6663</v>
      </c>
      <c r="B2914" s="3" t="s">
        <v>6664</v>
      </c>
    </row>
    <row r="2915" spans="1:2">
      <c r="A2915" s="3" t="s">
        <v>6665</v>
      </c>
      <c r="B2915" s="3" t="s">
        <v>6666</v>
      </c>
    </row>
    <row r="2916" spans="1:2">
      <c r="A2916" s="3" t="s">
        <v>6667</v>
      </c>
      <c r="B2916" s="3" t="s">
        <v>6668</v>
      </c>
    </row>
    <row r="2917" spans="1:2">
      <c r="A2917" s="3" t="s">
        <v>6669</v>
      </c>
      <c r="B2917" s="3" t="s">
        <v>6670</v>
      </c>
    </row>
    <row r="2918" spans="1:2">
      <c r="A2918" s="3" t="s">
        <v>6671</v>
      </c>
      <c r="B2918" s="3" t="s">
        <v>6672</v>
      </c>
    </row>
    <row r="2919" spans="1:2">
      <c r="A2919" s="3" t="s">
        <v>6673</v>
      </c>
      <c r="B2919" s="3" t="s">
        <v>6674</v>
      </c>
    </row>
    <row r="2920" spans="1:2">
      <c r="A2920" s="3" t="s">
        <v>6675</v>
      </c>
      <c r="B2920" s="3" t="s">
        <v>6676</v>
      </c>
    </row>
    <row r="2921" spans="1:2">
      <c r="A2921" s="3" t="s">
        <v>6677</v>
      </c>
      <c r="B2921" s="3" t="s">
        <v>6678</v>
      </c>
    </row>
    <row r="2922" spans="1:2">
      <c r="A2922" s="3" t="s">
        <v>6679</v>
      </c>
      <c r="B2922" s="3" t="s">
        <v>6680</v>
      </c>
    </row>
    <row r="2923" spans="1:2">
      <c r="A2923" s="3" t="s">
        <v>6681</v>
      </c>
      <c r="B2923" s="3" t="s">
        <v>6682</v>
      </c>
    </row>
    <row r="2924" spans="1:2">
      <c r="A2924" s="3" t="s">
        <v>6683</v>
      </c>
      <c r="B2924" s="3" t="s">
        <v>6684</v>
      </c>
    </row>
    <row r="2925" spans="1:2">
      <c r="A2925" s="3" t="s">
        <v>6685</v>
      </c>
      <c r="B2925" s="3" t="s">
        <v>6686</v>
      </c>
    </row>
    <row r="2926" spans="1:2">
      <c r="A2926" s="3" t="s">
        <v>6687</v>
      </c>
      <c r="B2926" s="3" t="s">
        <v>6688</v>
      </c>
    </row>
    <row r="2927" spans="1:2">
      <c r="A2927" s="3" t="s">
        <v>6689</v>
      </c>
      <c r="B2927" s="3" t="s">
        <v>6690</v>
      </c>
    </row>
    <row r="2928" spans="1:2">
      <c r="A2928" s="3" t="s">
        <v>6691</v>
      </c>
      <c r="B2928" s="3" t="s">
        <v>6692</v>
      </c>
    </row>
    <row r="2929" spans="1:2">
      <c r="A2929" s="3" t="s">
        <v>6693</v>
      </c>
      <c r="B2929" s="3" t="s">
        <v>6694</v>
      </c>
    </row>
    <row r="2930" spans="1:2">
      <c r="A2930" s="3" t="s">
        <v>6695</v>
      </c>
      <c r="B2930" s="3" t="s">
        <v>6696</v>
      </c>
    </row>
    <row r="2931" spans="1:2">
      <c r="A2931" s="3" t="s">
        <v>6697</v>
      </c>
      <c r="B2931" s="3" t="s">
        <v>6698</v>
      </c>
    </row>
    <row r="2932" spans="1:2">
      <c r="A2932" s="3" t="s">
        <v>6699</v>
      </c>
      <c r="B2932" s="3" t="s">
        <v>6700</v>
      </c>
    </row>
    <row r="2933" spans="1:2">
      <c r="A2933" s="3" t="s">
        <v>6701</v>
      </c>
      <c r="B2933" s="3" t="s">
        <v>6702</v>
      </c>
    </row>
    <row r="2934" spans="1:2">
      <c r="A2934" s="3" t="s">
        <v>6703</v>
      </c>
      <c r="B2934" s="3" t="s">
        <v>6704</v>
      </c>
    </row>
    <row r="2935" spans="1:2">
      <c r="A2935" s="3" t="s">
        <v>6705</v>
      </c>
      <c r="B2935" s="3" t="s">
        <v>6706</v>
      </c>
    </row>
    <row r="2936" spans="1:2">
      <c r="A2936" s="3" t="s">
        <v>6707</v>
      </c>
      <c r="B2936" s="3" t="s">
        <v>6708</v>
      </c>
    </row>
    <row r="2937" spans="1:2">
      <c r="A2937" s="3" t="s">
        <v>6709</v>
      </c>
      <c r="B2937" s="3" t="s">
        <v>6710</v>
      </c>
    </row>
    <row r="2938" spans="1:2">
      <c r="A2938" s="3" t="s">
        <v>6711</v>
      </c>
      <c r="B2938" s="3" t="s">
        <v>6712</v>
      </c>
    </row>
    <row r="2939" spans="1:2">
      <c r="A2939" s="3" t="s">
        <v>6713</v>
      </c>
      <c r="B2939" s="3" t="s">
        <v>6714</v>
      </c>
    </row>
    <row r="2940" spans="1:2">
      <c r="A2940" s="3" t="s">
        <v>6715</v>
      </c>
      <c r="B2940" s="3" t="s">
        <v>6716</v>
      </c>
    </row>
    <row r="2941" spans="1:2">
      <c r="A2941" s="3" t="s">
        <v>6717</v>
      </c>
      <c r="B2941" s="3" t="s">
        <v>6718</v>
      </c>
    </row>
    <row r="2942" spans="1:2">
      <c r="A2942" s="3" t="s">
        <v>6719</v>
      </c>
      <c r="B2942" s="3" t="s">
        <v>6720</v>
      </c>
    </row>
    <row r="2943" spans="1:2">
      <c r="A2943" s="3" t="s">
        <v>6721</v>
      </c>
      <c r="B2943" s="3" t="s">
        <v>6722</v>
      </c>
    </row>
    <row r="2944" spans="1:2">
      <c r="A2944" s="3" t="s">
        <v>6723</v>
      </c>
      <c r="B2944" s="3" t="s">
        <v>6724</v>
      </c>
    </row>
    <row r="2945" spans="1:2">
      <c r="A2945" s="3" t="s">
        <v>6725</v>
      </c>
      <c r="B2945" s="3" t="s">
        <v>6726</v>
      </c>
    </row>
    <row r="2946" spans="1:2">
      <c r="A2946" s="3" t="s">
        <v>6727</v>
      </c>
      <c r="B2946" s="3" t="s">
        <v>6728</v>
      </c>
    </row>
    <row r="2947" spans="1:2">
      <c r="A2947" s="3" t="s">
        <v>6729</v>
      </c>
      <c r="B2947" s="3" t="s">
        <v>6730</v>
      </c>
    </row>
    <row r="2948" spans="1:2">
      <c r="A2948" s="3" t="s">
        <v>6731</v>
      </c>
      <c r="B2948" s="3" t="s">
        <v>6732</v>
      </c>
    </row>
    <row r="2949" spans="1:2">
      <c r="A2949" s="3" t="s">
        <v>6733</v>
      </c>
      <c r="B2949" s="3" t="s">
        <v>6734</v>
      </c>
    </row>
    <row r="2950" spans="1:2">
      <c r="A2950" s="3" t="s">
        <v>6735</v>
      </c>
      <c r="B2950" s="3" t="s">
        <v>6736</v>
      </c>
    </row>
    <row r="2951" spans="1:2">
      <c r="A2951" s="3" t="s">
        <v>6737</v>
      </c>
      <c r="B2951" s="3" t="s">
        <v>6738</v>
      </c>
    </row>
    <row r="2952" spans="1:2">
      <c r="A2952" s="3" t="s">
        <v>6739</v>
      </c>
      <c r="B2952" s="3" t="s">
        <v>6740</v>
      </c>
    </row>
    <row r="2953" spans="1:2">
      <c r="A2953" s="3" t="s">
        <v>6741</v>
      </c>
      <c r="B2953" s="3" t="s">
        <v>6742</v>
      </c>
    </row>
    <row r="2954" spans="1:2">
      <c r="A2954" s="3" t="s">
        <v>6743</v>
      </c>
      <c r="B2954" s="3" t="s">
        <v>6744</v>
      </c>
    </row>
    <row r="2955" spans="1:2">
      <c r="A2955" s="3" t="s">
        <v>6745</v>
      </c>
      <c r="B2955" s="3" t="s">
        <v>6746</v>
      </c>
    </row>
    <row r="2956" spans="1:2">
      <c r="A2956" s="3" t="s">
        <v>6747</v>
      </c>
      <c r="B2956" s="3" t="s">
        <v>6748</v>
      </c>
    </row>
    <row r="2957" spans="1:2">
      <c r="A2957" s="3" t="s">
        <v>6749</v>
      </c>
      <c r="B2957" s="3" t="s">
        <v>6750</v>
      </c>
    </row>
    <row r="2958" spans="1:2">
      <c r="A2958" s="3" t="s">
        <v>6751</v>
      </c>
      <c r="B2958" s="3" t="s">
        <v>6752</v>
      </c>
    </row>
    <row r="2959" spans="1:2">
      <c r="A2959" s="3" t="s">
        <v>6753</v>
      </c>
      <c r="B2959" s="3" t="s">
        <v>6754</v>
      </c>
    </row>
    <row r="2960" spans="1:2">
      <c r="A2960" s="3" t="s">
        <v>6755</v>
      </c>
      <c r="B2960" s="3" t="s">
        <v>6756</v>
      </c>
    </row>
    <row r="2961" spans="1:2">
      <c r="A2961" s="3" t="s">
        <v>6757</v>
      </c>
      <c r="B2961" s="3" t="s">
        <v>6758</v>
      </c>
    </row>
    <row r="2962" spans="1:2">
      <c r="A2962" s="3" t="s">
        <v>6759</v>
      </c>
      <c r="B2962" s="3" t="s">
        <v>6760</v>
      </c>
    </row>
    <row r="2963" spans="1:2">
      <c r="A2963" s="3" t="s">
        <v>6761</v>
      </c>
      <c r="B2963" s="3" t="s">
        <v>6762</v>
      </c>
    </row>
    <row r="2964" spans="1:2">
      <c r="A2964" s="3" t="s">
        <v>6763</v>
      </c>
      <c r="B2964" s="3" t="s">
        <v>6764</v>
      </c>
    </row>
    <row r="2965" spans="1:2">
      <c r="A2965" s="3" t="s">
        <v>6765</v>
      </c>
      <c r="B2965" s="3" t="s">
        <v>6766</v>
      </c>
    </row>
    <row r="2966" spans="1:2">
      <c r="A2966" s="3" t="s">
        <v>6767</v>
      </c>
      <c r="B2966" s="3" t="s">
        <v>6768</v>
      </c>
    </row>
    <row r="2967" spans="1:2">
      <c r="A2967" s="3" t="s">
        <v>6769</v>
      </c>
      <c r="B2967" s="3" t="s">
        <v>6770</v>
      </c>
    </row>
    <row r="2968" spans="1:2">
      <c r="A2968" s="3" t="s">
        <v>6771</v>
      </c>
      <c r="B2968" s="3" t="s">
        <v>6772</v>
      </c>
    </row>
    <row r="2969" spans="1:2">
      <c r="A2969" s="3" t="s">
        <v>6773</v>
      </c>
      <c r="B2969" s="3" t="s">
        <v>6774</v>
      </c>
    </row>
    <row r="2970" spans="1:2">
      <c r="A2970" s="3" t="s">
        <v>6775</v>
      </c>
      <c r="B2970" s="3" t="s">
        <v>6776</v>
      </c>
    </row>
    <row r="2971" spans="1:2">
      <c r="A2971" s="3" t="s">
        <v>6777</v>
      </c>
      <c r="B2971" s="3" t="s">
        <v>6778</v>
      </c>
    </row>
    <row r="2972" spans="1:2">
      <c r="A2972" s="3" t="s">
        <v>6779</v>
      </c>
      <c r="B2972" s="3" t="s">
        <v>6780</v>
      </c>
    </row>
    <row r="2973" spans="1:2">
      <c r="A2973" s="3" t="s">
        <v>6781</v>
      </c>
      <c r="B2973" s="3" t="s">
        <v>6782</v>
      </c>
    </row>
    <row r="2974" spans="1:2">
      <c r="A2974" s="3" t="s">
        <v>6783</v>
      </c>
      <c r="B2974" s="3" t="s">
        <v>6784</v>
      </c>
    </row>
    <row r="2975" spans="1:2">
      <c r="A2975" s="3" t="s">
        <v>6785</v>
      </c>
      <c r="B2975" s="3" t="s">
        <v>6786</v>
      </c>
    </row>
    <row r="2976" spans="1:2">
      <c r="A2976" s="3" t="s">
        <v>6787</v>
      </c>
      <c r="B2976" s="3" t="s">
        <v>6788</v>
      </c>
    </row>
    <row r="2977" spans="1:2">
      <c r="A2977" s="3" t="s">
        <v>6789</v>
      </c>
      <c r="B2977" s="3" t="s">
        <v>6790</v>
      </c>
    </row>
    <row r="2978" spans="1:2">
      <c r="A2978" s="3" t="s">
        <v>6791</v>
      </c>
      <c r="B2978" s="3" t="s">
        <v>6792</v>
      </c>
    </row>
    <row r="2979" spans="1:2">
      <c r="A2979" s="3" t="s">
        <v>6793</v>
      </c>
      <c r="B2979" s="3" t="s">
        <v>6794</v>
      </c>
    </row>
    <row r="2980" spans="1:2">
      <c r="A2980" s="3" t="s">
        <v>6795</v>
      </c>
      <c r="B2980" s="3" t="s">
        <v>6796</v>
      </c>
    </row>
    <row r="2981" spans="1:2">
      <c r="A2981" s="3" t="s">
        <v>6797</v>
      </c>
      <c r="B2981" s="3" t="s">
        <v>6798</v>
      </c>
    </row>
    <row r="2982" spans="1:2">
      <c r="A2982" s="3" t="s">
        <v>6799</v>
      </c>
      <c r="B2982" s="3" t="s">
        <v>6800</v>
      </c>
    </row>
    <row r="2983" spans="1:2">
      <c r="A2983" s="3" t="s">
        <v>6801</v>
      </c>
      <c r="B2983" s="3" t="s">
        <v>6802</v>
      </c>
    </row>
    <row r="2984" spans="1:2">
      <c r="A2984" s="3" t="s">
        <v>6803</v>
      </c>
      <c r="B2984" s="3" t="s">
        <v>6804</v>
      </c>
    </row>
    <row r="2985" spans="1:2">
      <c r="A2985" s="3" t="s">
        <v>6805</v>
      </c>
      <c r="B2985" s="3" t="s">
        <v>6806</v>
      </c>
    </row>
    <row r="2986" spans="1:2">
      <c r="A2986" s="3" t="s">
        <v>6807</v>
      </c>
      <c r="B2986" s="3" t="s">
        <v>6808</v>
      </c>
    </row>
    <row r="2987" spans="1:2">
      <c r="A2987" s="3" t="s">
        <v>6809</v>
      </c>
      <c r="B2987" s="3" t="s">
        <v>6810</v>
      </c>
    </row>
    <row r="2988" spans="1:2">
      <c r="A2988" s="3" t="s">
        <v>618</v>
      </c>
      <c r="B2988" s="3" t="s">
        <v>4958</v>
      </c>
    </row>
    <row r="2989" spans="1:2">
      <c r="A2989" s="3" t="s">
        <v>6811</v>
      </c>
      <c r="B2989" s="3" t="s">
        <v>6812</v>
      </c>
    </row>
    <row r="2990" spans="1:2">
      <c r="A2990" s="3" t="s">
        <v>6813</v>
      </c>
      <c r="B2990" s="3" t="s">
        <v>6814</v>
      </c>
    </row>
    <row r="2991" spans="1:2">
      <c r="A2991" s="3" t="s">
        <v>6815</v>
      </c>
      <c r="B2991" s="3" t="s">
        <v>6816</v>
      </c>
    </row>
    <row r="2992" spans="1:2">
      <c r="A2992" s="3" t="s">
        <v>6817</v>
      </c>
      <c r="B2992" s="3" t="s">
        <v>6818</v>
      </c>
    </row>
    <row r="2993" spans="1:2">
      <c r="A2993" s="3" t="s">
        <v>6819</v>
      </c>
      <c r="B2993" s="3" t="s">
        <v>6820</v>
      </c>
    </row>
    <row r="2994" spans="1:2">
      <c r="A2994" s="3" t="s">
        <v>6821</v>
      </c>
      <c r="B2994" s="3" t="s">
        <v>6822</v>
      </c>
    </row>
    <row r="2995" spans="1:2">
      <c r="A2995" s="3" t="s">
        <v>6823</v>
      </c>
      <c r="B2995" s="3" t="s">
        <v>6824</v>
      </c>
    </row>
    <row r="2996" spans="1:2">
      <c r="A2996" s="3" t="s">
        <v>6825</v>
      </c>
      <c r="B2996" s="3" t="s">
        <v>6826</v>
      </c>
    </row>
    <row r="2997" spans="1:2">
      <c r="A2997" s="3" t="s">
        <v>6827</v>
      </c>
      <c r="B2997" s="3" t="s">
        <v>6828</v>
      </c>
    </row>
    <row r="2998" spans="1:2">
      <c r="A2998" s="3" t="s">
        <v>6829</v>
      </c>
      <c r="B2998" s="3" t="s">
        <v>6830</v>
      </c>
    </row>
    <row r="2999" spans="1:2">
      <c r="A2999" s="3" t="s">
        <v>6831</v>
      </c>
      <c r="B2999" s="3" t="s">
        <v>6832</v>
      </c>
    </row>
    <row r="3000" spans="1:2">
      <c r="A3000" s="3" t="s">
        <v>6833</v>
      </c>
      <c r="B3000" s="3" t="s">
        <v>6834</v>
      </c>
    </row>
    <row r="3001" spans="1:2">
      <c r="A3001" s="3" t="s">
        <v>6835</v>
      </c>
      <c r="B3001" s="3" t="s">
        <v>6836</v>
      </c>
    </row>
    <row r="3002" spans="1:2">
      <c r="A3002" s="3" t="s">
        <v>6837</v>
      </c>
      <c r="B3002" s="3" t="s">
        <v>6838</v>
      </c>
    </row>
    <row r="3003" spans="1:2">
      <c r="A3003" s="3" t="s">
        <v>6839</v>
      </c>
      <c r="B3003" s="3" t="s">
        <v>6840</v>
      </c>
    </row>
    <row r="3004" spans="1:2">
      <c r="A3004" s="3" t="s">
        <v>6841</v>
      </c>
      <c r="B3004" s="3" t="s">
        <v>6842</v>
      </c>
    </row>
    <row r="3005" spans="1:2">
      <c r="A3005" s="3" t="s">
        <v>6843</v>
      </c>
      <c r="B3005" s="3" t="s">
        <v>6844</v>
      </c>
    </row>
    <row r="3006" spans="1:2">
      <c r="A3006" s="3" t="s">
        <v>6845</v>
      </c>
      <c r="B3006" s="3" t="s">
        <v>6846</v>
      </c>
    </row>
    <row r="3007" spans="1:2">
      <c r="A3007" s="3" t="s">
        <v>6847</v>
      </c>
      <c r="B3007" s="3" t="s">
        <v>6848</v>
      </c>
    </row>
    <row r="3008" spans="1:2">
      <c r="A3008" s="3" t="s">
        <v>6849</v>
      </c>
      <c r="B3008" s="3" t="s">
        <v>6850</v>
      </c>
    </row>
    <row r="3009" spans="1:2">
      <c r="A3009" s="3" t="s">
        <v>6851</v>
      </c>
      <c r="B3009" s="3" t="s">
        <v>6852</v>
      </c>
    </row>
    <row r="3010" spans="1:2">
      <c r="A3010" s="3" t="s">
        <v>6853</v>
      </c>
      <c r="B3010" s="3" t="s">
        <v>6854</v>
      </c>
    </row>
    <row r="3011" spans="1:2">
      <c r="A3011" s="3" t="s">
        <v>6855</v>
      </c>
      <c r="B3011" s="3" t="s">
        <v>6856</v>
      </c>
    </row>
    <row r="3012" spans="1:2">
      <c r="A3012" s="3" t="s">
        <v>6857</v>
      </c>
      <c r="B3012" s="3" t="s">
        <v>6858</v>
      </c>
    </row>
    <row r="3013" spans="1:2">
      <c r="A3013" s="3" t="s">
        <v>6859</v>
      </c>
      <c r="B3013" s="3" t="s">
        <v>6860</v>
      </c>
    </row>
    <row r="3014" spans="1:2">
      <c r="A3014" s="3" t="s">
        <v>6861</v>
      </c>
      <c r="B3014" s="3" t="s">
        <v>6862</v>
      </c>
    </row>
    <row r="3015" spans="1:2">
      <c r="A3015" s="3" t="s">
        <v>6863</v>
      </c>
      <c r="B3015" s="3" t="s">
        <v>6864</v>
      </c>
    </row>
    <row r="3016" spans="1:2">
      <c r="A3016" s="3" t="s">
        <v>6865</v>
      </c>
      <c r="B3016" s="3" t="s">
        <v>6866</v>
      </c>
    </row>
    <row r="3017" spans="1:2">
      <c r="A3017" s="3" t="s">
        <v>6867</v>
      </c>
      <c r="B3017" s="3" t="s">
        <v>6868</v>
      </c>
    </row>
    <row r="3018" spans="1:2">
      <c r="A3018" s="3" t="s">
        <v>6869</v>
      </c>
      <c r="B3018" s="3" t="s">
        <v>6870</v>
      </c>
    </row>
    <row r="3019" spans="1:2">
      <c r="A3019" s="3" t="s">
        <v>6871</v>
      </c>
      <c r="B3019" s="3" t="s">
        <v>6872</v>
      </c>
    </row>
    <row r="3020" spans="1:2">
      <c r="A3020" s="3" t="s">
        <v>6873</v>
      </c>
      <c r="B3020" s="3" t="s">
        <v>6874</v>
      </c>
    </row>
    <row r="3021" spans="1:2">
      <c r="A3021" s="3" t="s">
        <v>6875</v>
      </c>
      <c r="B3021" s="3" t="s">
        <v>6876</v>
      </c>
    </row>
    <row r="3022" spans="1:2">
      <c r="A3022" s="3" t="s">
        <v>6877</v>
      </c>
      <c r="B3022" s="3" t="s">
        <v>6878</v>
      </c>
    </row>
    <row r="3023" spans="1:2">
      <c r="A3023" s="3" t="s">
        <v>6879</v>
      </c>
      <c r="B3023" s="3" t="s">
        <v>6880</v>
      </c>
    </row>
    <row r="3024" spans="1:2">
      <c r="A3024" s="3" t="s">
        <v>6881</v>
      </c>
      <c r="B3024" s="3" t="s">
        <v>6882</v>
      </c>
    </row>
    <row r="3025" spans="1:2">
      <c r="A3025" s="3" t="s">
        <v>6883</v>
      </c>
      <c r="B3025" s="3" t="s">
        <v>6884</v>
      </c>
    </row>
    <row r="3026" spans="1:2">
      <c r="A3026" s="3" t="s">
        <v>6885</v>
      </c>
      <c r="B3026" s="3" t="s">
        <v>6886</v>
      </c>
    </row>
    <row r="3027" spans="1:2">
      <c r="A3027" s="3" t="s">
        <v>6887</v>
      </c>
      <c r="B3027" s="3" t="s">
        <v>6888</v>
      </c>
    </row>
    <row r="3028" spans="1:2">
      <c r="A3028" s="3" t="s">
        <v>6889</v>
      </c>
      <c r="B3028" s="3" t="s">
        <v>6890</v>
      </c>
    </row>
    <row r="3029" spans="1:2">
      <c r="A3029" s="3" t="s">
        <v>6891</v>
      </c>
      <c r="B3029" s="3" t="s">
        <v>6892</v>
      </c>
    </row>
    <row r="3030" spans="1:2">
      <c r="A3030" s="3" t="s">
        <v>6893</v>
      </c>
      <c r="B3030" s="3" t="s">
        <v>6894</v>
      </c>
    </row>
    <row r="3031" spans="1:2">
      <c r="A3031" s="3" t="s">
        <v>6895</v>
      </c>
      <c r="B3031" s="3" t="s">
        <v>6896</v>
      </c>
    </row>
    <row r="3032" spans="1:2">
      <c r="A3032" s="3" t="s">
        <v>6897</v>
      </c>
      <c r="B3032" s="3" t="s">
        <v>6898</v>
      </c>
    </row>
    <row r="3033" spans="1:2">
      <c r="A3033" s="3" t="s">
        <v>6899</v>
      </c>
      <c r="B3033" s="3" t="s">
        <v>6900</v>
      </c>
    </row>
    <row r="3034" spans="1:2">
      <c r="A3034" s="3" t="s">
        <v>6901</v>
      </c>
      <c r="B3034" s="3" t="s">
        <v>4093</v>
      </c>
    </row>
    <row r="3035" spans="1:2">
      <c r="A3035" s="3" t="s">
        <v>6902</v>
      </c>
      <c r="B3035" s="3" t="s">
        <v>6903</v>
      </c>
    </row>
    <row r="3036" spans="1:2">
      <c r="A3036" s="3" t="s">
        <v>6904</v>
      </c>
      <c r="B3036" s="3" t="s">
        <v>6905</v>
      </c>
    </row>
    <row r="3037" spans="1:2">
      <c r="A3037" s="3" t="s">
        <v>6906</v>
      </c>
      <c r="B3037" s="3" t="s">
        <v>6907</v>
      </c>
    </row>
    <row r="3038" spans="1:2">
      <c r="A3038" s="3" t="s">
        <v>6908</v>
      </c>
      <c r="B3038" s="3" t="s">
        <v>6909</v>
      </c>
    </row>
    <row r="3039" spans="1:2">
      <c r="A3039" s="3" t="s">
        <v>6910</v>
      </c>
      <c r="B3039" s="3" t="s">
        <v>6911</v>
      </c>
    </row>
    <row r="3040" spans="1:2">
      <c r="A3040" s="3" t="s">
        <v>6912</v>
      </c>
      <c r="B3040" s="3" t="s">
        <v>6913</v>
      </c>
    </row>
    <row r="3041" spans="1:2">
      <c r="A3041" s="3" t="s">
        <v>6914</v>
      </c>
      <c r="B3041" s="3" t="s">
        <v>6915</v>
      </c>
    </row>
    <row r="3042" spans="1:2">
      <c r="A3042" s="3" t="s">
        <v>6916</v>
      </c>
      <c r="B3042" s="3" t="s">
        <v>6917</v>
      </c>
    </row>
    <row r="3043" spans="1:2">
      <c r="A3043" s="3" t="s">
        <v>6918</v>
      </c>
      <c r="B3043" s="3" t="s">
        <v>6919</v>
      </c>
    </row>
    <row r="3044" spans="1:2">
      <c r="A3044" s="3" t="s">
        <v>6920</v>
      </c>
      <c r="B3044" s="3" t="s">
        <v>6921</v>
      </c>
    </row>
    <row r="3045" spans="1:2">
      <c r="A3045" s="3" t="s">
        <v>6922</v>
      </c>
      <c r="B3045" s="3" t="s">
        <v>6923</v>
      </c>
    </row>
    <row r="3046" spans="1:2">
      <c r="A3046" s="3" t="s">
        <v>6924</v>
      </c>
      <c r="B3046" s="3" t="s">
        <v>6925</v>
      </c>
    </row>
    <row r="3047" spans="1:2">
      <c r="A3047" s="3" t="s">
        <v>6926</v>
      </c>
      <c r="B3047" s="3" t="s">
        <v>6927</v>
      </c>
    </row>
    <row r="3048" spans="1:2">
      <c r="A3048" s="3" t="s">
        <v>6928</v>
      </c>
      <c r="B3048" s="3" t="s">
        <v>6929</v>
      </c>
    </row>
    <row r="3049" spans="1:2">
      <c r="A3049" s="3" t="s">
        <v>6930</v>
      </c>
      <c r="B3049" s="3" t="s">
        <v>6931</v>
      </c>
    </row>
    <row r="3050" spans="1:2">
      <c r="A3050" s="3" t="s">
        <v>6932</v>
      </c>
      <c r="B3050" s="3" t="s">
        <v>6933</v>
      </c>
    </row>
    <row r="3051" spans="1:2">
      <c r="A3051" s="3" t="s">
        <v>6934</v>
      </c>
      <c r="B3051" s="3" t="s">
        <v>6935</v>
      </c>
    </row>
    <row r="3052" spans="1:2">
      <c r="A3052" s="3" t="s">
        <v>6936</v>
      </c>
      <c r="B3052" s="3" t="s">
        <v>6937</v>
      </c>
    </row>
    <row r="3053" spans="1:2">
      <c r="A3053" s="3" t="s">
        <v>6938</v>
      </c>
      <c r="B3053" s="3" t="s">
        <v>6939</v>
      </c>
    </row>
    <row r="3054" spans="1:2">
      <c r="A3054" s="3" t="s">
        <v>6940</v>
      </c>
      <c r="B3054" s="3" t="s">
        <v>6941</v>
      </c>
    </row>
    <row r="3055" spans="1:2">
      <c r="A3055" s="3" t="s">
        <v>6942</v>
      </c>
      <c r="B3055" s="3" t="s">
        <v>6943</v>
      </c>
    </row>
    <row r="3056" spans="1:2">
      <c r="A3056" s="3" t="s">
        <v>6944</v>
      </c>
      <c r="B3056" s="3" t="s">
        <v>6945</v>
      </c>
    </row>
    <row r="3057" spans="1:2">
      <c r="A3057" s="3" t="s">
        <v>6946</v>
      </c>
      <c r="B3057" s="3" t="s">
        <v>6947</v>
      </c>
    </row>
    <row r="3058" spans="1:2">
      <c r="A3058" s="3" t="s">
        <v>6948</v>
      </c>
      <c r="B3058" s="3" t="s">
        <v>6949</v>
      </c>
    </row>
    <row r="3059" spans="1:2">
      <c r="A3059" s="3" t="s">
        <v>6950</v>
      </c>
      <c r="B3059" s="3" t="s">
        <v>6951</v>
      </c>
    </row>
    <row r="3060" spans="1:2">
      <c r="A3060" s="3" t="s">
        <v>6952</v>
      </c>
      <c r="B3060" s="3" t="s">
        <v>6953</v>
      </c>
    </row>
    <row r="3061" spans="1:2">
      <c r="A3061" s="3" t="s">
        <v>6954</v>
      </c>
      <c r="B3061" s="3" t="s">
        <v>6955</v>
      </c>
    </row>
    <row r="3062" spans="1:2">
      <c r="A3062" s="3" t="s">
        <v>6956</v>
      </c>
      <c r="B3062" s="3" t="s">
        <v>6957</v>
      </c>
    </row>
    <row r="3063" spans="1:2">
      <c r="A3063" s="3" t="s">
        <v>6958</v>
      </c>
      <c r="B3063" s="3" t="s">
        <v>6959</v>
      </c>
    </row>
    <row r="3064" spans="1:2">
      <c r="A3064" s="3" t="s">
        <v>6960</v>
      </c>
      <c r="B3064" s="3" t="s">
        <v>6961</v>
      </c>
    </row>
    <row r="3065" spans="1:2">
      <c r="A3065" s="3" t="s">
        <v>6962</v>
      </c>
      <c r="B3065" s="3" t="s">
        <v>6963</v>
      </c>
    </row>
    <row r="3066" spans="1:2">
      <c r="A3066" s="3" t="s">
        <v>6964</v>
      </c>
      <c r="B3066" s="3" t="s">
        <v>6965</v>
      </c>
    </row>
    <row r="3067" spans="1:2">
      <c r="A3067" s="3" t="s">
        <v>6966</v>
      </c>
      <c r="B3067" s="3" t="s">
        <v>6967</v>
      </c>
    </row>
    <row r="3068" spans="1:2">
      <c r="A3068" s="3" t="s">
        <v>6968</v>
      </c>
      <c r="B3068" s="3" t="s">
        <v>6969</v>
      </c>
    </row>
    <row r="3069" spans="1:2">
      <c r="A3069" s="3" t="s">
        <v>6970</v>
      </c>
      <c r="B3069" s="3" t="s">
        <v>6971</v>
      </c>
    </row>
    <row r="3070" spans="1:2">
      <c r="A3070" s="3" t="s">
        <v>6972</v>
      </c>
      <c r="B3070" s="3" t="s">
        <v>6973</v>
      </c>
    </row>
    <row r="3071" spans="1:2">
      <c r="A3071" s="3" t="s">
        <v>6974</v>
      </c>
      <c r="B3071" s="3" t="s">
        <v>6975</v>
      </c>
    </row>
    <row r="3072" spans="1:2">
      <c r="A3072" s="3" t="s">
        <v>6976</v>
      </c>
      <c r="B3072" s="3" t="s">
        <v>6977</v>
      </c>
    </row>
    <row r="3073" spans="1:2">
      <c r="A3073" s="3" t="s">
        <v>6978</v>
      </c>
      <c r="B3073" s="3" t="s">
        <v>6979</v>
      </c>
    </row>
    <row r="3074" spans="1:2">
      <c r="A3074" s="3" t="s">
        <v>6980</v>
      </c>
      <c r="B3074" s="3" t="s">
        <v>6981</v>
      </c>
    </row>
    <row r="3075" spans="1:2">
      <c r="A3075" s="3" t="s">
        <v>6982</v>
      </c>
      <c r="B3075" s="3" t="s">
        <v>6983</v>
      </c>
    </row>
    <row r="3076" spans="1:2">
      <c r="A3076" s="3" t="s">
        <v>6984</v>
      </c>
      <c r="B3076" s="3" t="s">
        <v>6985</v>
      </c>
    </row>
    <row r="3077" spans="1:2">
      <c r="A3077" s="3" t="s">
        <v>6986</v>
      </c>
      <c r="B3077" s="3" t="s">
        <v>6987</v>
      </c>
    </row>
    <row r="3078" spans="1:2">
      <c r="A3078" s="3" t="s">
        <v>6988</v>
      </c>
      <c r="B3078" s="3" t="s">
        <v>6989</v>
      </c>
    </row>
    <row r="3079" spans="1:2">
      <c r="A3079" s="3" t="s">
        <v>6990</v>
      </c>
      <c r="B3079" s="3" t="s">
        <v>6991</v>
      </c>
    </row>
    <row r="3080" spans="1:2">
      <c r="A3080" s="3" t="s">
        <v>6992</v>
      </c>
      <c r="B3080" s="3" t="s">
        <v>6993</v>
      </c>
    </row>
    <row r="3081" spans="1:2">
      <c r="A3081" s="3" t="s">
        <v>6994</v>
      </c>
      <c r="B3081" s="3" t="s">
        <v>6995</v>
      </c>
    </row>
    <row r="3082" spans="1:2">
      <c r="A3082" s="3" t="s">
        <v>6996</v>
      </c>
      <c r="B3082" s="3" t="s">
        <v>6997</v>
      </c>
    </row>
    <row r="3083" spans="1:2">
      <c r="A3083" s="3" t="s">
        <v>6998</v>
      </c>
      <c r="B3083" s="3" t="s">
        <v>6999</v>
      </c>
    </row>
    <row r="3084" spans="1:2">
      <c r="A3084" s="3" t="s">
        <v>7000</v>
      </c>
      <c r="B3084" s="3" t="s">
        <v>7001</v>
      </c>
    </row>
    <row r="3085" spans="1:2">
      <c r="A3085" s="3" t="s">
        <v>7002</v>
      </c>
      <c r="B3085" s="3" t="s">
        <v>7003</v>
      </c>
    </row>
    <row r="3086" spans="1:2">
      <c r="A3086" s="3" t="s">
        <v>7004</v>
      </c>
      <c r="B3086" s="3" t="s">
        <v>7005</v>
      </c>
    </row>
    <row r="3087" spans="1:2">
      <c r="A3087" s="3" t="s">
        <v>7006</v>
      </c>
      <c r="B3087" s="3" t="s">
        <v>7007</v>
      </c>
    </row>
    <row r="3088" spans="1:2">
      <c r="A3088" s="3" t="s">
        <v>7008</v>
      </c>
      <c r="B3088" s="3" t="s">
        <v>7009</v>
      </c>
    </row>
    <row r="3089" spans="1:2">
      <c r="A3089" s="3" t="s">
        <v>7010</v>
      </c>
      <c r="B3089" s="3" t="s">
        <v>7011</v>
      </c>
    </row>
    <row r="3090" spans="1:2">
      <c r="A3090" s="3" t="s">
        <v>7012</v>
      </c>
      <c r="B3090" s="3" t="s">
        <v>7013</v>
      </c>
    </row>
    <row r="3091" spans="1:2">
      <c r="A3091" s="3" t="s">
        <v>7014</v>
      </c>
      <c r="B3091" s="3" t="s">
        <v>7015</v>
      </c>
    </row>
    <row r="3092" spans="1:2">
      <c r="A3092" s="3" t="s">
        <v>7016</v>
      </c>
      <c r="B3092" s="3" t="s">
        <v>7017</v>
      </c>
    </row>
    <row r="3093" spans="1:2">
      <c r="A3093" s="3" t="s">
        <v>7018</v>
      </c>
      <c r="B3093" s="3" t="s">
        <v>7019</v>
      </c>
    </row>
    <row r="3094" spans="1:2">
      <c r="A3094" s="3" t="s">
        <v>7020</v>
      </c>
      <c r="B3094" s="3" t="s">
        <v>7021</v>
      </c>
    </row>
    <row r="3095" spans="1:2">
      <c r="A3095" s="3" t="s">
        <v>7022</v>
      </c>
      <c r="B3095" s="3" t="s">
        <v>7023</v>
      </c>
    </row>
    <row r="3096" spans="1:2">
      <c r="A3096" s="3" t="s">
        <v>7024</v>
      </c>
      <c r="B3096" s="3" t="s">
        <v>7025</v>
      </c>
    </row>
    <row r="3097" spans="1:2">
      <c r="A3097" s="3" t="s">
        <v>7026</v>
      </c>
      <c r="B3097" s="3" t="s">
        <v>7027</v>
      </c>
    </row>
    <row r="3098" spans="1:2">
      <c r="A3098" s="3" t="s">
        <v>7028</v>
      </c>
      <c r="B3098" s="3" t="s">
        <v>7029</v>
      </c>
    </row>
    <row r="3099" spans="1:2">
      <c r="A3099" s="3" t="s">
        <v>7030</v>
      </c>
      <c r="B3099" s="3" t="s">
        <v>7031</v>
      </c>
    </row>
    <row r="3100" spans="1:2">
      <c r="A3100" s="3" t="s">
        <v>7032</v>
      </c>
      <c r="B3100" s="3" t="s">
        <v>7033</v>
      </c>
    </row>
    <row r="3101" spans="1:2">
      <c r="A3101" s="3" t="s">
        <v>7034</v>
      </c>
      <c r="B3101" s="3" t="s">
        <v>7035</v>
      </c>
    </row>
    <row r="3102" spans="1:2">
      <c r="A3102" s="3" t="s">
        <v>7036</v>
      </c>
      <c r="B3102" s="3" t="s">
        <v>7037</v>
      </c>
    </row>
    <row r="3103" spans="1:2">
      <c r="A3103" s="3" t="s">
        <v>7038</v>
      </c>
      <c r="B3103" s="3" t="s">
        <v>7039</v>
      </c>
    </row>
    <row r="3104" spans="1:2">
      <c r="A3104" s="3" t="s">
        <v>7040</v>
      </c>
      <c r="B3104" s="3" t="s">
        <v>7041</v>
      </c>
    </row>
    <row r="3105" spans="1:2">
      <c r="A3105" s="3" t="s">
        <v>7042</v>
      </c>
      <c r="B3105" s="3" t="s">
        <v>7043</v>
      </c>
    </row>
    <row r="3106" spans="1:2">
      <c r="A3106" s="3" t="s">
        <v>7044</v>
      </c>
      <c r="B3106" s="3" t="s">
        <v>7045</v>
      </c>
    </row>
    <row r="3107" spans="1:2">
      <c r="A3107" s="3" t="s">
        <v>7046</v>
      </c>
      <c r="B3107" s="3" t="s">
        <v>7047</v>
      </c>
    </row>
    <row r="3108" spans="1:2">
      <c r="A3108" s="3" t="s">
        <v>7048</v>
      </c>
      <c r="B3108" s="3" t="s">
        <v>7049</v>
      </c>
    </row>
    <row r="3109" spans="1:2">
      <c r="A3109" s="3" t="s">
        <v>7050</v>
      </c>
      <c r="B3109" s="3" t="s">
        <v>7051</v>
      </c>
    </row>
    <row r="3110" spans="1:2">
      <c r="A3110" s="3" t="s">
        <v>7052</v>
      </c>
      <c r="B3110" s="3" t="s">
        <v>2039</v>
      </c>
    </row>
    <row r="3111" spans="1:2">
      <c r="A3111" s="3" t="s">
        <v>7053</v>
      </c>
      <c r="B3111" s="3" t="s">
        <v>7054</v>
      </c>
    </row>
    <row r="3112" spans="1:2">
      <c r="A3112" s="3" t="s">
        <v>7055</v>
      </c>
      <c r="B3112" s="3" t="s">
        <v>7056</v>
      </c>
    </row>
    <row r="3113" spans="1:2">
      <c r="A3113" s="3" t="s">
        <v>7057</v>
      </c>
      <c r="B3113" s="3" t="s">
        <v>7058</v>
      </c>
    </row>
    <row r="3114" spans="1:2">
      <c r="A3114" s="3" t="s">
        <v>7059</v>
      </c>
      <c r="B3114" s="3" t="s">
        <v>7060</v>
      </c>
    </row>
    <row r="3115" spans="1:2">
      <c r="A3115" s="3" t="s">
        <v>7061</v>
      </c>
      <c r="B3115" s="3" t="s">
        <v>7062</v>
      </c>
    </row>
    <row r="3116" spans="1:2">
      <c r="A3116" s="3" t="s">
        <v>7063</v>
      </c>
      <c r="B3116" s="3" t="s">
        <v>7064</v>
      </c>
    </row>
    <row r="3117" spans="1:2">
      <c r="A3117" s="3" t="s">
        <v>7065</v>
      </c>
      <c r="B3117" s="3" t="s">
        <v>7066</v>
      </c>
    </row>
    <row r="3118" spans="1:2">
      <c r="A3118" s="3" t="s">
        <v>7067</v>
      </c>
      <c r="B3118" s="3" t="s">
        <v>7068</v>
      </c>
    </row>
    <row r="3119" spans="1:2">
      <c r="A3119" s="3" t="s">
        <v>7069</v>
      </c>
      <c r="B3119" s="3" t="s">
        <v>7070</v>
      </c>
    </row>
    <row r="3120" spans="1:2">
      <c r="A3120" s="3" t="s">
        <v>7071</v>
      </c>
      <c r="B3120" s="3" t="s">
        <v>7072</v>
      </c>
    </row>
    <row r="3121" spans="1:2">
      <c r="A3121" s="3" t="s">
        <v>7073</v>
      </c>
      <c r="B3121" s="3" t="s">
        <v>7074</v>
      </c>
    </row>
    <row r="3122" spans="1:2">
      <c r="A3122" s="3" t="s">
        <v>7075</v>
      </c>
      <c r="B3122" s="3" t="s">
        <v>7076</v>
      </c>
    </row>
    <row r="3123" spans="1:2">
      <c r="A3123" s="3" t="s">
        <v>7077</v>
      </c>
      <c r="B3123" s="3" t="s">
        <v>7078</v>
      </c>
    </row>
    <row r="3124" spans="1:2">
      <c r="A3124" s="3" t="s">
        <v>7079</v>
      </c>
      <c r="B3124" s="3" t="s">
        <v>7080</v>
      </c>
    </row>
    <row r="3125" spans="1:2">
      <c r="A3125" s="3" t="s">
        <v>7081</v>
      </c>
      <c r="B3125" s="3" t="s">
        <v>7082</v>
      </c>
    </row>
    <row r="3126" spans="1:2">
      <c r="A3126" s="3" t="s">
        <v>7083</v>
      </c>
      <c r="B3126" s="3" t="s">
        <v>7084</v>
      </c>
    </row>
    <row r="3127" spans="1:2">
      <c r="A3127" s="3" t="s">
        <v>7085</v>
      </c>
      <c r="B3127" s="3" t="s">
        <v>7086</v>
      </c>
    </row>
    <row r="3128" spans="1:2">
      <c r="A3128" s="3" t="s">
        <v>7087</v>
      </c>
      <c r="B3128" s="3" t="s">
        <v>7088</v>
      </c>
    </row>
    <row r="3129" spans="1:2">
      <c r="A3129" s="3" t="s">
        <v>7089</v>
      </c>
      <c r="B3129" s="3" t="s">
        <v>7090</v>
      </c>
    </row>
    <row r="3130" spans="1:2">
      <c r="A3130" s="3" t="s">
        <v>7091</v>
      </c>
      <c r="B3130" s="3" t="s">
        <v>7092</v>
      </c>
    </row>
    <row r="3131" spans="1:2">
      <c r="A3131" s="3" t="s">
        <v>7093</v>
      </c>
      <c r="B3131" s="3" t="s">
        <v>975</v>
      </c>
    </row>
    <row r="3132" spans="1:2">
      <c r="A3132" s="3" t="s">
        <v>7094</v>
      </c>
      <c r="B3132" s="3" t="s">
        <v>7095</v>
      </c>
    </row>
    <row r="3133" spans="1:2">
      <c r="A3133" s="3" t="s">
        <v>7096</v>
      </c>
      <c r="B3133" s="3" t="s">
        <v>7097</v>
      </c>
    </row>
    <row r="3134" spans="1:2">
      <c r="A3134" s="3" t="s">
        <v>7098</v>
      </c>
      <c r="B3134" s="3" t="s">
        <v>7099</v>
      </c>
    </row>
    <row r="3135" spans="1:2">
      <c r="A3135" s="3" t="s">
        <v>7100</v>
      </c>
      <c r="B3135" s="3" t="s">
        <v>7101</v>
      </c>
    </row>
    <row r="3136" spans="1:2">
      <c r="A3136" s="3" t="s">
        <v>7102</v>
      </c>
      <c r="B3136" s="3" t="s">
        <v>7103</v>
      </c>
    </row>
    <row r="3137" spans="1:2">
      <c r="A3137" s="3" t="s">
        <v>7104</v>
      </c>
      <c r="B3137" s="3" t="s">
        <v>7105</v>
      </c>
    </row>
    <row r="3138" spans="1:2">
      <c r="A3138" s="3" t="s">
        <v>7106</v>
      </c>
      <c r="B3138" s="3" t="s">
        <v>7105</v>
      </c>
    </row>
    <row r="3139" spans="1:2">
      <c r="A3139" s="3" t="s">
        <v>7107</v>
      </c>
      <c r="B3139" s="3" t="s">
        <v>7108</v>
      </c>
    </row>
    <row r="3140" spans="1:2">
      <c r="A3140" s="3" t="s">
        <v>7109</v>
      </c>
      <c r="B3140" s="3" t="s">
        <v>7110</v>
      </c>
    </row>
    <row r="3141" spans="1:2">
      <c r="A3141" s="3" t="s">
        <v>7111</v>
      </c>
      <c r="B3141" s="3" t="s">
        <v>7112</v>
      </c>
    </row>
    <row r="3142" spans="1:2">
      <c r="A3142" s="3" t="s">
        <v>7113</v>
      </c>
      <c r="B3142" s="3" t="s">
        <v>7114</v>
      </c>
    </row>
    <row r="3143" spans="1:2">
      <c r="A3143" s="3" t="s">
        <v>7115</v>
      </c>
      <c r="B3143" s="3" t="s">
        <v>7116</v>
      </c>
    </row>
    <row r="3144" spans="1:2">
      <c r="A3144" s="3" t="s">
        <v>7117</v>
      </c>
      <c r="B3144" s="3" t="s">
        <v>7118</v>
      </c>
    </row>
    <row r="3145" spans="1:2">
      <c r="A3145" s="3" t="s">
        <v>7119</v>
      </c>
      <c r="B3145" s="3" t="s">
        <v>7120</v>
      </c>
    </row>
    <row r="3146" spans="1:2">
      <c r="A3146" s="3" t="s">
        <v>7121</v>
      </c>
      <c r="B3146" s="3" t="s">
        <v>7122</v>
      </c>
    </row>
    <row r="3147" spans="1:2">
      <c r="A3147" s="3" t="s">
        <v>7123</v>
      </c>
      <c r="B3147" s="3" t="s">
        <v>7124</v>
      </c>
    </row>
    <row r="3148" spans="1:2">
      <c r="A3148" s="3" t="s">
        <v>7125</v>
      </c>
      <c r="B3148" s="3" t="s">
        <v>7126</v>
      </c>
    </row>
    <row r="3149" spans="1:2">
      <c r="A3149" s="3" t="s">
        <v>7127</v>
      </c>
      <c r="B3149" s="3" t="s">
        <v>7128</v>
      </c>
    </row>
    <row r="3150" spans="1:2">
      <c r="A3150" s="3" t="s">
        <v>7129</v>
      </c>
      <c r="B3150" s="3" t="s">
        <v>7130</v>
      </c>
    </row>
    <row r="3151" spans="1:2">
      <c r="A3151" s="3" t="s">
        <v>7131</v>
      </c>
      <c r="B3151" s="3" t="s">
        <v>7132</v>
      </c>
    </row>
    <row r="3152" spans="1:2">
      <c r="A3152" s="3" t="s">
        <v>7133</v>
      </c>
      <c r="B3152" s="3" t="s">
        <v>7134</v>
      </c>
    </row>
    <row r="3153" spans="1:2">
      <c r="A3153" s="3" t="s">
        <v>7135</v>
      </c>
      <c r="B3153" s="3" t="s">
        <v>7136</v>
      </c>
    </row>
    <row r="3154" spans="1:2">
      <c r="A3154" s="3" t="s">
        <v>7137</v>
      </c>
      <c r="B3154" s="3" t="s">
        <v>7138</v>
      </c>
    </row>
    <row r="3155" spans="1:2">
      <c r="A3155" s="3" t="s">
        <v>7139</v>
      </c>
      <c r="B3155" s="3" t="s">
        <v>7140</v>
      </c>
    </row>
    <row r="3156" spans="1:2">
      <c r="A3156" s="3" t="s">
        <v>7141</v>
      </c>
      <c r="B3156" s="3" t="s">
        <v>7142</v>
      </c>
    </row>
    <row r="3157" spans="1:2">
      <c r="A3157" s="3" t="s">
        <v>7143</v>
      </c>
      <c r="B3157" s="3" t="s">
        <v>7144</v>
      </c>
    </row>
    <row r="3158" spans="1:2">
      <c r="A3158" s="3" t="s">
        <v>7145</v>
      </c>
      <c r="B3158" s="3" t="s">
        <v>7146</v>
      </c>
    </row>
    <row r="3159" spans="1:2">
      <c r="A3159" s="3" t="s">
        <v>7147</v>
      </c>
      <c r="B3159" s="3" t="s">
        <v>7148</v>
      </c>
    </row>
    <row r="3160" spans="1:2">
      <c r="A3160" s="3" t="s">
        <v>7149</v>
      </c>
      <c r="B3160" s="3" t="s">
        <v>7150</v>
      </c>
    </row>
    <row r="3161" spans="1:2">
      <c r="A3161" s="3" t="s">
        <v>7151</v>
      </c>
      <c r="B3161" s="3" t="s">
        <v>7152</v>
      </c>
    </row>
    <row r="3162" spans="1:2">
      <c r="A3162" s="3" t="s">
        <v>7153</v>
      </c>
      <c r="B3162" s="3" t="s">
        <v>7154</v>
      </c>
    </row>
    <row r="3163" spans="1:2">
      <c r="A3163" s="3" t="s">
        <v>7155</v>
      </c>
      <c r="B3163" s="3" t="s">
        <v>7156</v>
      </c>
    </row>
    <row r="3164" spans="1:2">
      <c r="A3164" s="3" t="s">
        <v>7157</v>
      </c>
      <c r="B3164" s="3" t="s">
        <v>7158</v>
      </c>
    </row>
    <row r="3165" spans="1:2">
      <c r="A3165" s="3" t="s">
        <v>7159</v>
      </c>
      <c r="B3165" s="3" t="s">
        <v>7160</v>
      </c>
    </row>
    <row r="3166" spans="1:2">
      <c r="A3166" s="3" t="s">
        <v>7161</v>
      </c>
      <c r="B3166" s="3" t="s">
        <v>7162</v>
      </c>
    </row>
    <row r="3167" spans="1:2">
      <c r="A3167" s="3" t="s">
        <v>7163</v>
      </c>
      <c r="B3167" s="3" t="s">
        <v>7164</v>
      </c>
    </row>
    <row r="3168" spans="1:2">
      <c r="A3168" s="3" t="s">
        <v>7165</v>
      </c>
      <c r="B3168" s="3" t="s">
        <v>7166</v>
      </c>
    </row>
    <row r="3169" spans="1:2">
      <c r="A3169" s="3" t="s">
        <v>7167</v>
      </c>
      <c r="B3169" s="3" t="s">
        <v>7168</v>
      </c>
    </row>
    <row r="3170" spans="1:2">
      <c r="A3170" s="3" t="s">
        <v>7169</v>
      </c>
      <c r="B3170" s="3" t="s">
        <v>7170</v>
      </c>
    </row>
    <row r="3171" spans="1:2">
      <c r="A3171" s="3" t="s">
        <v>7171</v>
      </c>
      <c r="B3171" s="3" t="s">
        <v>7172</v>
      </c>
    </row>
    <row r="3172" spans="1:2">
      <c r="A3172" s="3" t="s">
        <v>7173</v>
      </c>
      <c r="B3172" s="3" t="s">
        <v>7174</v>
      </c>
    </row>
    <row r="3173" spans="1:2">
      <c r="A3173" s="3" t="s">
        <v>7175</v>
      </c>
      <c r="B3173" s="3" t="s">
        <v>7176</v>
      </c>
    </row>
    <row r="3174" spans="1:2">
      <c r="A3174" s="3" t="s">
        <v>7177</v>
      </c>
      <c r="B3174" s="3" t="s">
        <v>7178</v>
      </c>
    </row>
    <row r="3175" spans="1:2">
      <c r="A3175" s="3" t="s">
        <v>7179</v>
      </c>
      <c r="B3175" s="3" t="s">
        <v>7180</v>
      </c>
    </row>
    <row r="3176" spans="1:2">
      <c r="A3176" s="3" t="s">
        <v>7181</v>
      </c>
      <c r="B3176" s="3" t="s">
        <v>7182</v>
      </c>
    </row>
    <row r="3177" spans="1:2">
      <c r="A3177" s="3" t="s">
        <v>7183</v>
      </c>
      <c r="B3177" s="3" t="s">
        <v>7184</v>
      </c>
    </row>
    <row r="3178" spans="1:2">
      <c r="A3178" s="3" t="s">
        <v>7185</v>
      </c>
      <c r="B3178" s="3" t="s">
        <v>7186</v>
      </c>
    </row>
    <row r="3179" spans="1:2">
      <c r="A3179" s="3" t="s">
        <v>7187</v>
      </c>
      <c r="B3179" s="3" t="s">
        <v>7188</v>
      </c>
    </row>
    <row r="3180" spans="1:2">
      <c r="A3180" s="3" t="s">
        <v>7189</v>
      </c>
      <c r="B3180" s="3" t="s">
        <v>7190</v>
      </c>
    </row>
    <row r="3181" spans="1:2">
      <c r="A3181" s="3" t="s">
        <v>7191</v>
      </c>
      <c r="B3181" s="3" t="s">
        <v>7192</v>
      </c>
    </row>
    <row r="3182" spans="1:2">
      <c r="A3182" s="3" t="s">
        <v>7193</v>
      </c>
      <c r="B3182" s="3" t="s">
        <v>7194</v>
      </c>
    </row>
    <row r="3183" spans="1:2">
      <c r="A3183" s="3" t="s">
        <v>7195</v>
      </c>
      <c r="B3183" s="3" t="s">
        <v>7196</v>
      </c>
    </row>
    <row r="3184" spans="1:2">
      <c r="A3184" s="3" t="s">
        <v>7197</v>
      </c>
      <c r="B3184" s="3" t="s">
        <v>7198</v>
      </c>
    </row>
    <row r="3185" spans="1:2">
      <c r="A3185" s="3" t="s">
        <v>7199</v>
      </c>
      <c r="B3185" s="3" t="s">
        <v>7200</v>
      </c>
    </row>
    <row r="3186" spans="1:2">
      <c r="A3186" s="3" t="s">
        <v>7201</v>
      </c>
      <c r="B3186" s="3" t="s">
        <v>7202</v>
      </c>
    </row>
    <row r="3187" spans="1:2">
      <c r="A3187" s="3" t="s">
        <v>7203</v>
      </c>
      <c r="B3187" s="3" t="s">
        <v>7204</v>
      </c>
    </row>
    <row r="3188" spans="1:2">
      <c r="A3188" s="3" t="s">
        <v>7205</v>
      </c>
      <c r="B3188" s="3" t="s">
        <v>7206</v>
      </c>
    </row>
    <row r="3189" spans="1:2">
      <c r="A3189" s="3" t="s">
        <v>7207</v>
      </c>
      <c r="B3189" s="3" t="s">
        <v>7208</v>
      </c>
    </row>
    <row r="3190" spans="1:2">
      <c r="A3190" s="3" t="s">
        <v>7209</v>
      </c>
      <c r="B3190" s="3" t="s">
        <v>7210</v>
      </c>
    </row>
    <row r="3191" spans="1:2">
      <c r="A3191" s="3" t="s">
        <v>7211</v>
      </c>
      <c r="B3191" s="3" t="s">
        <v>7212</v>
      </c>
    </row>
    <row r="3192" spans="1:2">
      <c r="A3192" s="3" t="s">
        <v>7213</v>
      </c>
      <c r="B3192" s="3" t="s">
        <v>7214</v>
      </c>
    </row>
    <row r="3193" spans="1:2">
      <c r="A3193" s="3" t="s">
        <v>7215</v>
      </c>
      <c r="B3193" s="3" t="s">
        <v>7216</v>
      </c>
    </row>
    <row r="3194" spans="1:2">
      <c r="A3194" s="3" t="s">
        <v>7217</v>
      </c>
      <c r="B3194" s="3" t="s">
        <v>7218</v>
      </c>
    </row>
    <row r="3195" spans="1:2">
      <c r="A3195" s="3" t="s">
        <v>7219</v>
      </c>
      <c r="B3195" s="3" t="s">
        <v>7220</v>
      </c>
    </row>
    <row r="3196" spans="1:2">
      <c r="A3196" s="3" t="s">
        <v>7221</v>
      </c>
      <c r="B3196" s="3" t="s">
        <v>7222</v>
      </c>
    </row>
    <row r="3197" spans="1:2">
      <c r="A3197" s="3" t="s">
        <v>7223</v>
      </c>
      <c r="B3197" s="3" t="s">
        <v>7224</v>
      </c>
    </row>
    <row r="3198" spans="1:2">
      <c r="A3198" s="3" t="s">
        <v>7225</v>
      </c>
      <c r="B3198" s="3" t="s">
        <v>7226</v>
      </c>
    </row>
    <row r="3199" spans="1:2">
      <c r="A3199" s="3" t="s">
        <v>7227</v>
      </c>
      <c r="B3199" s="3" t="s">
        <v>7228</v>
      </c>
    </row>
    <row r="3200" spans="1:2">
      <c r="A3200" s="3" t="s">
        <v>7229</v>
      </c>
      <c r="B3200" s="3" t="s">
        <v>7230</v>
      </c>
    </row>
    <row r="3201" spans="1:2">
      <c r="A3201" s="3" t="s">
        <v>7231</v>
      </c>
      <c r="B3201" s="3" t="s">
        <v>7232</v>
      </c>
    </row>
    <row r="3202" spans="1:2">
      <c r="A3202" s="3" t="s">
        <v>7233</v>
      </c>
      <c r="B3202" s="3" t="s">
        <v>7234</v>
      </c>
    </row>
    <row r="3203" spans="1:2">
      <c r="A3203" s="3" t="s">
        <v>7235</v>
      </c>
      <c r="B3203" s="3" t="s">
        <v>7236</v>
      </c>
    </row>
    <row r="3204" spans="1:2">
      <c r="A3204" s="3" t="s">
        <v>7237</v>
      </c>
      <c r="B3204" s="3" t="s">
        <v>7238</v>
      </c>
    </row>
    <row r="3205" spans="1:2">
      <c r="A3205" s="3" t="s">
        <v>7239</v>
      </c>
      <c r="B3205" s="3" t="s">
        <v>7240</v>
      </c>
    </row>
    <row r="3206" spans="1:2">
      <c r="A3206" s="3" t="s">
        <v>7241</v>
      </c>
      <c r="B3206" s="3" t="s">
        <v>7242</v>
      </c>
    </row>
    <row r="3207" spans="1:2">
      <c r="A3207" s="3" t="s">
        <v>7243</v>
      </c>
      <c r="B3207" s="3" t="s">
        <v>7244</v>
      </c>
    </row>
    <row r="3208" spans="1:2">
      <c r="A3208" s="3" t="s">
        <v>7245</v>
      </c>
      <c r="B3208" s="3" t="s">
        <v>7246</v>
      </c>
    </row>
    <row r="3209" spans="1:2">
      <c r="A3209" s="3" t="s">
        <v>7247</v>
      </c>
      <c r="B3209" s="3" t="s">
        <v>7248</v>
      </c>
    </row>
    <row r="3210" spans="1:2">
      <c r="A3210" s="3" t="s">
        <v>7249</v>
      </c>
      <c r="B3210" s="3" t="s">
        <v>7250</v>
      </c>
    </row>
    <row r="3211" spans="1:2">
      <c r="A3211" s="3" t="s">
        <v>7251</v>
      </c>
      <c r="B3211" s="3" t="s">
        <v>7252</v>
      </c>
    </row>
    <row r="3212" spans="1:2">
      <c r="A3212" s="3" t="s">
        <v>7253</v>
      </c>
      <c r="B3212" s="3" t="s">
        <v>7254</v>
      </c>
    </row>
    <row r="3213" spans="1:2">
      <c r="A3213" s="3" t="s">
        <v>7255</v>
      </c>
      <c r="B3213" s="3" t="s">
        <v>7256</v>
      </c>
    </row>
    <row r="3214" spans="1:2">
      <c r="A3214" s="3" t="s">
        <v>7257</v>
      </c>
      <c r="B3214" s="3" t="s">
        <v>7258</v>
      </c>
    </row>
    <row r="3215" spans="1:2">
      <c r="A3215" s="3" t="s">
        <v>7259</v>
      </c>
      <c r="B3215" s="3" t="s">
        <v>7260</v>
      </c>
    </row>
    <row r="3216" spans="1:2">
      <c r="A3216" s="3" t="s">
        <v>7261</v>
      </c>
      <c r="B3216" s="3" t="s">
        <v>7262</v>
      </c>
    </row>
    <row r="3217" spans="1:2">
      <c r="A3217" s="3" t="s">
        <v>7263</v>
      </c>
      <c r="B3217" s="3" t="s">
        <v>7264</v>
      </c>
    </row>
    <row r="3218" spans="1:2">
      <c r="A3218" s="3" t="s">
        <v>7265</v>
      </c>
      <c r="B3218" s="3" t="s">
        <v>7266</v>
      </c>
    </row>
    <row r="3219" spans="1:2">
      <c r="A3219" s="3" t="s">
        <v>7267</v>
      </c>
      <c r="B3219" s="3" t="s">
        <v>7268</v>
      </c>
    </row>
    <row r="3220" spans="1:2">
      <c r="A3220" s="3" t="s">
        <v>7269</v>
      </c>
      <c r="B3220" s="3" t="s">
        <v>7270</v>
      </c>
    </row>
    <row r="3221" spans="1:2">
      <c r="A3221" s="3" t="s">
        <v>7271</v>
      </c>
      <c r="B3221" s="3" t="s">
        <v>7272</v>
      </c>
    </row>
    <row r="3222" spans="1:2">
      <c r="A3222" s="3" t="s">
        <v>7273</v>
      </c>
      <c r="B3222" s="3" t="s">
        <v>7274</v>
      </c>
    </row>
    <row r="3223" spans="1:2">
      <c r="A3223" s="3" t="s">
        <v>7275</v>
      </c>
      <c r="B3223" s="3" t="s">
        <v>7276</v>
      </c>
    </row>
    <row r="3224" spans="1:2">
      <c r="A3224" s="3" t="s">
        <v>7277</v>
      </c>
      <c r="B3224" s="3" t="s">
        <v>7278</v>
      </c>
    </row>
    <row r="3225" spans="1:2">
      <c r="A3225" s="3" t="s">
        <v>7279</v>
      </c>
      <c r="B3225" s="3" t="s">
        <v>7280</v>
      </c>
    </row>
    <row r="3226" spans="1:2">
      <c r="A3226" s="3" t="s">
        <v>7281</v>
      </c>
      <c r="B3226" s="3" t="s">
        <v>7282</v>
      </c>
    </row>
    <row r="3227" spans="1:2">
      <c r="A3227" s="3" t="s">
        <v>7283</v>
      </c>
      <c r="B3227" s="3" t="s">
        <v>7284</v>
      </c>
    </row>
    <row r="3228" spans="1:2">
      <c r="A3228" s="3" t="s">
        <v>7285</v>
      </c>
      <c r="B3228" s="3" t="s">
        <v>7286</v>
      </c>
    </row>
    <row r="3229" spans="1:2">
      <c r="A3229" s="3" t="s">
        <v>7287</v>
      </c>
      <c r="B3229" s="3" t="s">
        <v>7288</v>
      </c>
    </row>
    <row r="3230" spans="1:2">
      <c r="A3230" s="3" t="s">
        <v>7289</v>
      </c>
      <c r="B3230" s="3" t="s">
        <v>7290</v>
      </c>
    </row>
    <row r="3231" spans="1:2">
      <c r="A3231" s="3" t="s">
        <v>7291</v>
      </c>
      <c r="B3231" s="3" t="s">
        <v>7292</v>
      </c>
    </row>
    <row r="3232" spans="1:2">
      <c r="A3232" s="3" t="s">
        <v>7293</v>
      </c>
      <c r="B3232" s="3" t="s">
        <v>7294</v>
      </c>
    </row>
    <row r="3233" spans="1:2">
      <c r="A3233" s="3" t="s">
        <v>7295</v>
      </c>
      <c r="B3233" s="3" t="s">
        <v>7296</v>
      </c>
    </row>
    <row r="3234" spans="1:2">
      <c r="A3234" s="3" t="s">
        <v>7297</v>
      </c>
      <c r="B3234" s="3" t="s">
        <v>7298</v>
      </c>
    </row>
    <row r="3235" spans="1:2">
      <c r="A3235" s="3" t="s">
        <v>7299</v>
      </c>
      <c r="B3235" s="3" t="s">
        <v>7300</v>
      </c>
    </row>
    <row r="3236" spans="1:2">
      <c r="A3236" s="3" t="s">
        <v>7301</v>
      </c>
      <c r="B3236" s="3" t="s">
        <v>7302</v>
      </c>
    </row>
    <row r="3237" spans="1:2">
      <c r="A3237" s="3" t="s">
        <v>7303</v>
      </c>
      <c r="B3237" s="3" t="s">
        <v>7304</v>
      </c>
    </row>
    <row r="3238" spans="1:2">
      <c r="A3238" s="3" t="s">
        <v>7305</v>
      </c>
      <c r="B3238" s="3" t="s">
        <v>7306</v>
      </c>
    </row>
    <row r="3239" spans="1:2">
      <c r="A3239" s="3" t="s">
        <v>7307</v>
      </c>
      <c r="B3239" s="3" t="s">
        <v>7308</v>
      </c>
    </row>
    <row r="3240" spans="1:2">
      <c r="A3240" s="3" t="s">
        <v>7309</v>
      </c>
      <c r="B3240" s="3" t="s">
        <v>7310</v>
      </c>
    </row>
    <row r="3241" spans="1:2">
      <c r="A3241" s="3" t="s">
        <v>7311</v>
      </c>
      <c r="B3241" s="3" t="s">
        <v>7312</v>
      </c>
    </row>
    <row r="3242" spans="1:2">
      <c r="A3242" s="3" t="s">
        <v>7313</v>
      </c>
      <c r="B3242" s="3" t="s">
        <v>7314</v>
      </c>
    </row>
    <row r="3243" spans="1:2">
      <c r="A3243" s="3" t="s">
        <v>7315</v>
      </c>
      <c r="B3243" s="3" t="s">
        <v>7316</v>
      </c>
    </row>
    <row r="3244" spans="1:2">
      <c r="A3244" s="3" t="s">
        <v>7317</v>
      </c>
      <c r="B3244" s="3" t="s">
        <v>7318</v>
      </c>
    </row>
    <row r="3245" spans="1:2">
      <c r="A3245" s="3" t="s">
        <v>7319</v>
      </c>
      <c r="B3245" s="3" t="s">
        <v>7320</v>
      </c>
    </row>
    <row r="3246" spans="1:2">
      <c r="A3246" s="3" t="s">
        <v>7321</v>
      </c>
      <c r="B3246" s="3" t="s">
        <v>7322</v>
      </c>
    </row>
    <row r="3247" spans="1:2">
      <c r="A3247" s="3" t="s">
        <v>7323</v>
      </c>
      <c r="B3247" s="3" t="s">
        <v>7324</v>
      </c>
    </row>
    <row r="3248" spans="1:2">
      <c r="A3248" s="3" t="s">
        <v>7325</v>
      </c>
      <c r="B3248" s="3" t="s">
        <v>7326</v>
      </c>
    </row>
    <row r="3249" spans="1:2">
      <c r="A3249" s="3" t="s">
        <v>7327</v>
      </c>
      <c r="B3249" s="3" t="s">
        <v>7328</v>
      </c>
    </row>
    <row r="3250" spans="1:2">
      <c r="A3250" s="3" t="s">
        <v>7329</v>
      </c>
      <c r="B3250" s="3" t="s">
        <v>7330</v>
      </c>
    </row>
    <row r="3251" spans="1:2">
      <c r="A3251" s="3" t="s">
        <v>7331</v>
      </c>
      <c r="B3251" s="3" t="s">
        <v>7332</v>
      </c>
    </row>
    <row r="3252" spans="1:2">
      <c r="A3252" s="3" t="s">
        <v>7333</v>
      </c>
      <c r="B3252" s="3" t="s">
        <v>7334</v>
      </c>
    </row>
    <row r="3253" spans="1:2">
      <c r="A3253" s="3" t="s">
        <v>7335</v>
      </c>
      <c r="B3253" s="3" t="s">
        <v>975</v>
      </c>
    </row>
    <row r="3254" spans="1:2">
      <c r="A3254" s="3" t="s">
        <v>7336</v>
      </c>
      <c r="B3254" s="3" t="s">
        <v>7337</v>
      </c>
    </row>
    <row r="3255" spans="1:2">
      <c r="A3255" s="3" t="s">
        <v>7338</v>
      </c>
      <c r="B3255" s="3" t="s">
        <v>7339</v>
      </c>
    </row>
    <row r="3256" spans="1:2">
      <c r="A3256" s="3" t="s">
        <v>7340</v>
      </c>
      <c r="B3256" s="3" t="s">
        <v>7341</v>
      </c>
    </row>
    <row r="3257" spans="1:2">
      <c r="A3257" s="3" t="s">
        <v>7342</v>
      </c>
      <c r="B3257" s="3" t="s">
        <v>7343</v>
      </c>
    </row>
    <row r="3258" spans="1:2">
      <c r="A3258" s="3" t="s">
        <v>7344</v>
      </c>
      <c r="B3258" s="3" t="s">
        <v>7345</v>
      </c>
    </row>
    <row r="3259" spans="1:2">
      <c r="A3259" s="3" t="s">
        <v>7346</v>
      </c>
      <c r="B3259" s="3" t="s">
        <v>7347</v>
      </c>
    </row>
    <row r="3260" spans="1:2">
      <c r="A3260" s="3" t="s">
        <v>7348</v>
      </c>
      <c r="B3260" s="3" t="s">
        <v>7349</v>
      </c>
    </row>
    <row r="3261" spans="1:2">
      <c r="A3261" s="3" t="s">
        <v>7350</v>
      </c>
      <c r="B3261" s="3" t="s">
        <v>7351</v>
      </c>
    </row>
    <row r="3262" spans="1:2">
      <c r="A3262" s="3" t="s">
        <v>7352</v>
      </c>
      <c r="B3262" s="3" t="s">
        <v>7353</v>
      </c>
    </row>
    <row r="3263" spans="1:2">
      <c r="A3263" s="3" t="s">
        <v>7354</v>
      </c>
      <c r="B3263" s="3" t="s">
        <v>7355</v>
      </c>
    </row>
    <row r="3264" spans="1:2">
      <c r="A3264" s="3" t="s">
        <v>7356</v>
      </c>
      <c r="B3264" s="3" t="s">
        <v>7357</v>
      </c>
    </row>
    <row r="3265" spans="1:2">
      <c r="A3265" s="3" t="s">
        <v>7358</v>
      </c>
      <c r="B3265" s="3" t="s">
        <v>7359</v>
      </c>
    </row>
    <row r="3266" spans="1:2">
      <c r="A3266" s="3" t="s">
        <v>7360</v>
      </c>
      <c r="B3266" s="3" t="s">
        <v>7361</v>
      </c>
    </row>
    <row r="3267" spans="1:2">
      <c r="A3267" s="3" t="s">
        <v>7362</v>
      </c>
      <c r="B3267" s="3" t="s">
        <v>7363</v>
      </c>
    </row>
    <row r="3268" spans="1:2">
      <c r="A3268" s="3" t="s">
        <v>7364</v>
      </c>
      <c r="B3268" s="3" t="s">
        <v>7365</v>
      </c>
    </row>
    <row r="3269" spans="1:2">
      <c r="A3269" s="3" t="s">
        <v>7366</v>
      </c>
      <c r="B3269" s="3" t="s">
        <v>7367</v>
      </c>
    </row>
    <row r="3270" spans="1:2">
      <c r="A3270" s="3" t="s">
        <v>7368</v>
      </c>
      <c r="B3270" s="3" t="s">
        <v>7369</v>
      </c>
    </row>
    <row r="3271" spans="1:2">
      <c r="A3271" s="3" t="s">
        <v>7370</v>
      </c>
      <c r="B3271" s="3" t="s">
        <v>7371</v>
      </c>
    </row>
    <row r="3272" spans="1:2">
      <c r="A3272" s="3" t="s">
        <v>7372</v>
      </c>
      <c r="B3272" s="3" t="s">
        <v>7373</v>
      </c>
    </row>
    <row r="3273" spans="1:2">
      <c r="A3273" s="3" t="s">
        <v>7374</v>
      </c>
      <c r="B3273" s="3" t="s">
        <v>7375</v>
      </c>
    </row>
    <row r="3274" spans="1:2">
      <c r="A3274" s="3" t="s">
        <v>7376</v>
      </c>
      <c r="B3274" s="3" t="s">
        <v>7377</v>
      </c>
    </row>
    <row r="3275" spans="1:2">
      <c r="A3275" s="3" t="s">
        <v>7378</v>
      </c>
      <c r="B3275" s="3" t="s">
        <v>7379</v>
      </c>
    </row>
    <row r="3276" spans="1:2">
      <c r="A3276" s="3" t="s">
        <v>7380</v>
      </c>
      <c r="B3276" s="3" t="s">
        <v>7381</v>
      </c>
    </row>
    <row r="3277" spans="1:2">
      <c r="A3277" s="3" t="s">
        <v>7382</v>
      </c>
      <c r="B3277" s="3" t="s">
        <v>7383</v>
      </c>
    </row>
    <row r="3278" spans="1:2">
      <c r="A3278" s="3" t="s">
        <v>7384</v>
      </c>
      <c r="B3278" s="3" t="s">
        <v>7385</v>
      </c>
    </row>
    <row r="3279" spans="1:2">
      <c r="A3279" s="3" t="s">
        <v>7386</v>
      </c>
      <c r="B3279" s="3" t="s">
        <v>7387</v>
      </c>
    </row>
    <row r="3280" spans="1:2">
      <c r="A3280" s="3" t="s">
        <v>7388</v>
      </c>
      <c r="B3280" s="3" t="s">
        <v>7389</v>
      </c>
    </row>
    <row r="3281" spans="1:2">
      <c r="A3281" s="3" t="s">
        <v>7390</v>
      </c>
      <c r="B3281" s="3" t="s">
        <v>7391</v>
      </c>
    </row>
    <row r="3282" spans="1:2">
      <c r="A3282" s="3" t="s">
        <v>7392</v>
      </c>
      <c r="B3282" s="3" t="s">
        <v>7393</v>
      </c>
    </row>
    <row r="3283" spans="1:2">
      <c r="A3283" s="3" t="s">
        <v>7394</v>
      </c>
      <c r="B3283" s="3" t="s">
        <v>7395</v>
      </c>
    </row>
    <row r="3284" spans="1:2">
      <c r="A3284" s="3" t="s">
        <v>7396</v>
      </c>
      <c r="B3284" s="3" t="s">
        <v>7397</v>
      </c>
    </row>
    <row r="3285" spans="1:2">
      <c r="A3285" s="3" t="s">
        <v>7398</v>
      </c>
      <c r="B3285" s="3" t="s">
        <v>7399</v>
      </c>
    </row>
    <row r="3286" spans="1:2">
      <c r="A3286" s="3" t="s">
        <v>7400</v>
      </c>
      <c r="B3286" s="3" t="s">
        <v>7401</v>
      </c>
    </row>
    <row r="3287" spans="1:2">
      <c r="A3287" s="3" t="s">
        <v>7402</v>
      </c>
      <c r="B3287" s="3" t="s">
        <v>7403</v>
      </c>
    </row>
    <row r="3288" spans="1:2">
      <c r="A3288" s="3" t="s">
        <v>7404</v>
      </c>
      <c r="B3288" s="3" t="s">
        <v>7405</v>
      </c>
    </row>
    <row r="3289" spans="1:2">
      <c r="A3289" s="3" t="s">
        <v>7406</v>
      </c>
      <c r="B3289" s="3" t="s">
        <v>7407</v>
      </c>
    </row>
    <row r="3290" spans="1:2">
      <c r="A3290" s="3" t="s">
        <v>7408</v>
      </c>
      <c r="B3290" s="3" t="s">
        <v>7409</v>
      </c>
    </row>
    <row r="3291" spans="1:2">
      <c r="A3291" s="3" t="s">
        <v>7410</v>
      </c>
      <c r="B3291" s="3" t="s">
        <v>7411</v>
      </c>
    </row>
    <row r="3292" spans="1:2">
      <c r="A3292" s="3" t="s">
        <v>7412</v>
      </c>
      <c r="B3292" s="3" t="s">
        <v>7413</v>
      </c>
    </row>
    <row r="3293" spans="1:2">
      <c r="A3293" s="3" t="s">
        <v>7414</v>
      </c>
      <c r="B3293" s="3" t="s">
        <v>7415</v>
      </c>
    </row>
    <row r="3294" spans="1:2">
      <c r="A3294" s="3" t="s">
        <v>7416</v>
      </c>
      <c r="B3294" s="3" t="s">
        <v>7417</v>
      </c>
    </row>
    <row r="3295" spans="1:2">
      <c r="A3295" s="3" t="s">
        <v>7418</v>
      </c>
      <c r="B3295" s="3" t="s">
        <v>7419</v>
      </c>
    </row>
    <row r="3296" spans="1:2">
      <c r="A3296" s="3" t="s">
        <v>7420</v>
      </c>
      <c r="B3296" s="3" t="s">
        <v>7421</v>
      </c>
    </row>
    <row r="3297" spans="1:2">
      <c r="A3297" s="3" t="s">
        <v>7422</v>
      </c>
      <c r="B3297" s="3" t="s">
        <v>7423</v>
      </c>
    </row>
    <row r="3298" spans="1:2">
      <c r="A3298" s="3" t="s">
        <v>7424</v>
      </c>
      <c r="B3298" s="3" t="s">
        <v>7425</v>
      </c>
    </row>
    <row r="3299" spans="1:2">
      <c r="A3299" s="3" t="s">
        <v>7426</v>
      </c>
      <c r="B3299" s="3" t="s">
        <v>7427</v>
      </c>
    </row>
    <row r="3300" spans="1:2">
      <c r="A3300" s="3" t="s">
        <v>7428</v>
      </c>
      <c r="B3300" s="3" t="s">
        <v>7429</v>
      </c>
    </row>
    <row r="3301" spans="1:2">
      <c r="A3301" s="3" t="s">
        <v>7430</v>
      </c>
      <c r="B3301" s="3" t="s">
        <v>7431</v>
      </c>
    </row>
    <row r="3302" spans="1:2">
      <c r="A3302" s="3" t="s">
        <v>7432</v>
      </c>
      <c r="B3302" s="3" t="s">
        <v>7433</v>
      </c>
    </row>
    <row r="3303" spans="1:2">
      <c r="A3303" s="3" t="s">
        <v>7434</v>
      </c>
      <c r="B3303" s="3" t="s">
        <v>7435</v>
      </c>
    </row>
    <row r="3304" spans="1:2">
      <c r="A3304" s="3" t="s">
        <v>7436</v>
      </c>
      <c r="B3304" s="3" t="s">
        <v>7437</v>
      </c>
    </row>
    <row r="3305" spans="1:2">
      <c r="A3305" s="3" t="s">
        <v>7438</v>
      </c>
      <c r="B3305" s="3" t="s">
        <v>7439</v>
      </c>
    </row>
    <row r="3306" spans="1:2">
      <c r="A3306" s="3" t="s">
        <v>7440</v>
      </c>
      <c r="B3306" s="3" t="s">
        <v>7441</v>
      </c>
    </row>
    <row r="3307" spans="1:2">
      <c r="A3307" s="3" t="s">
        <v>7442</v>
      </c>
      <c r="B3307" s="3" t="s">
        <v>7443</v>
      </c>
    </row>
    <row r="3308" spans="1:2">
      <c r="A3308" s="3" t="s">
        <v>7444</v>
      </c>
      <c r="B3308" s="3" t="s">
        <v>7445</v>
      </c>
    </row>
    <row r="3309" spans="1:2">
      <c r="A3309" s="3" t="s">
        <v>7446</v>
      </c>
      <c r="B3309" s="3" t="s">
        <v>7447</v>
      </c>
    </row>
    <row r="3310" spans="1:2">
      <c r="A3310" s="3" t="s">
        <v>7448</v>
      </c>
      <c r="B3310" s="3" t="s">
        <v>7449</v>
      </c>
    </row>
    <row r="3311" spans="1:2">
      <c r="A3311" s="3" t="s">
        <v>7450</v>
      </c>
      <c r="B3311" s="3" t="s">
        <v>7451</v>
      </c>
    </row>
    <row r="3312" spans="1:2">
      <c r="A3312" s="3" t="s">
        <v>7452</v>
      </c>
      <c r="B3312" s="3" t="s">
        <v>7453</v>
      </c>
    </row>
    <row r="3313" spans="1:2">
      <c r="A3313" s="3" t="s">
        <v>7454</v>
      </c>
      <c r="B3313" s="3" t="s">
        <v>7455</v>
      </c>
    </row>
    <row r="3314" spans="1:2">
      <c r="A3314" s="3" t="s">
        <v>7456</v>
      </c>
      <c r="B3314" s="3" t="s">
        <v>7457</v>
      </c>
    </row>
    <row r="3315" spans="1:2">
      <c r="A3315" s="3" t="s">
        <v>7458</v>
      </c>
      <c r="B3315" s="3" t="s">
        <v>7459</v>
      </c>
    </row>
    <row r="3316" spans="1:2">
      <c r="A3316" s="3" t="s">
        <v>7460</v>
      </c>
      <c r="B3316" s="3" t="s">
        <v>7461</v>
      </c>
    </row>
    <row r="3317" spans="1:2">
      <c r="A3317" s="3" t="s">
        <v>7462</v>
      </c>
      <c r="B3317" s="3" t="s">
        <v>7463</v>
      </c>
    </row>
    <row r="3318" spans="1:2">
      <c r="A3318" s="3" t="s">
        <v>7464</v>
      </c>
      <c r="B3318" s="3" t="s">
        <v>7465</v>
      </c>
    </row>
    <row r="3319" spans="1:2">
      <c r="A3319" s="3" t="s">
        <v>7466</v>
      </c>
      <c r="B3319" s="3" t="s">
        <v>7467</v>
      </c>
    </row>
    <row r="3320" spans="1:2">
      <c r="A3320" s="3" t="s">
        <v>7468</v>
      </c>
      <c r="B3320" s="3" t="s">
        <v>7469</v>
      </c>
    </row>
    <row r="3321" spans="1:2">
      <c r="A3321" s="3" t="s">
        <v>7470</v>
      </c>
      <c r="B3321" s="3" t="s">
        <v>7471</v>
      </c>
    </row>
    <row r="3322" spans="1:2">
      <c r="A3322" s="3" t="s">
        <v>7472</v>
      </c>
      <c r="B3322" s="3" t="s">
        <v>7473</v>
      </c>
    </row>
    <row r="3323" spans="1:2">
      <c r="A3323" s="3" t="s">
        <v>7474</v>
      </c>
      <c r="B3323" s="3" t="s">
        <v>7475</v>
      </c>
    </row>
    <row r="3324" spans="1:2">
      <c r="A3324" s="3" t="s">
        <v>7476</v>
      </c>
      <c r="B3324" s="3" t="s">
        <v>7477</v>
      </c>
    </row>
    <row r="3325" spans="1:2">
      <c r="A3325" s="3" t="s">
        <v>7478</v>
      </c>
      <c r="B3325" s="3" t="s">
        <v>7479</v>
      </c>
    </row>
    <row r="3326" spans="1:2">
      <c r="A3326" s="3" t="s">
        <v>7480</v>
      </c>
      <c r="B3326" s="3" t="s">
        <v>7481</v>
      </c>
    </row>
    <row r="3327" spans="1:2">
      <c r="A3327" s="3" t="s">
        <v>7482</v>
      </c>
      <c r="B3327" s="3" t="s">
        <v>7483</v>
      </c>
    </row>
    <row r="3328" spans="1:2">
      <c r="A3328" s="3" t="s">
        <v>7484</v>
      </c>
      <c r="B3328" s="3" t="s">
        <v>7485</v>
      </c>
    </row>
    <row r="3329" spans="1:2">
      <c r="A3329" s="3" t="s">
        <v>7486</v>
      </c>
      <c r="B3329" s="3" t="s">
        <v>7487</v>
      </c>
    </row>
    <row r="3330" spans="1:2">
      <c r="A3330" s="3" t="s">
        <v>7488</v>
      </c>
      <c r="B3330" s="3" t="s">
        <v>7489</v>
      </c>
    </row>
    <row r="3331" spans="1:2">
      <c r="A3331" s="3" t="s">
        <v>7490</v>
      </c>
      <c r="B3331" s="3" t="s">
        <v>7491</v>
      </c>
    </row>
    <row r="3332" spans="1:2">
      <c r="A3332" s="3" t="s">
        <v>7492</v>
      </c>
      <c r="B3332" s="3" t="s">
        <v>7493</v>
      </c>
    </row>
    <row r="3333" spans="1:2">
      <c r="A3333" s="3" t="s">
        <v>7494</v>
      </c>
      <c r="B3333" s="3" t="s">
        <v>7495</v>
      </c>
    </row>
    <row r="3334" spans="1:2">
      <c r="A3334" s="3" t="s">
        <v>7496</v>
      </c>
      <c r="B3334" s="3" t="s">
        <v>7497</v>
      </c>
    </row>
    <row r="3335" spans="1:2">
      <c r="A3335" s="3" t="s">
        <v>7498</v>
      </c>
      <c r="B3335" s="3" t="s">
        <v>7499</v>
      </c>
    </row>
    <row r="3336" spans="1:2">
      <c r="A3336" s="3" t="s">
        <v>7500</v>
      </c>
      <c r="B3336" s="3" t="s">
        <v>7501</v>
      </c>
    </row>
    <row r="3337" spans="1:2">
      <c r="A3337" s="3" t="s">
        <v>7502</v>
      </c>
      <c r="B3337" s="3" t="s">
        <v>7503</v>
      </c>
    </row>
    <row r="3338" spans="1:2">
      <c r="A3338" s="3" t="s">
        <v>7504</v>
      </c>
      <c r="B3338" s="3" t="s">
        <v>7505</v>
      </c>
    </row>
    <row r="3339" spans="1:2">
      <c r="A3339" s="3" t="s">
        <v>7506</v>
      </c>
      <c r="B3339" s="3" t="s">
        <v>7507</v>
      </c>
    </row>
    <row r="3340" spans="1:2">
      <c r="A3340" s="3" t="s">
        <v>7508</v>
      </c>
      <c r="B3340" s="3" t="s">
        <v>7509</v>
      </c>
    </row>
    <row r="3341" spans="1:2">
      <c r="A3341" s="3" t="s">
        <v>7510</v>
      </c>
      <c r="B3341" s="3" t="s">
        <v>7511</v>
      </c>
    </row>
    <row r="3342" spans="1:2">
      <c r="A3342" s="3" t="s">
        <v>7512</v>
      </c>
      <c r="B3342" s="3" t="s">
        <v>7513</v>
      </c>
    </row>
    <row r="3343" spans="1:2">
      <c r="A3343" s="3" t="s">
        <v>7514</v>
      </c>
      <c r="B3343" s="3" t="s">
        <v>7515</v>
      </c>
    </row>
    <row r="3344" spans="1:2">
      <c r="A3344" s="3" t="s">
        <v>7516</v>
      </c>
      <c r="B3344" s="3" t="s">
        <v>7517</v>
      </c>
    </row>
    <row r="3345" spans="1:2">
      <c r="A3345" s="3" t="s">
        <v>7518</v>
      </c>
      <c r="B3345" s="3" t="s">
        <v>7519</v>
      </c>
    </row>
    <row r="3346" spans="1:2">
      <c r="A3346" s="3" t="s">
        <v>7520</v>
      </c>
      <c r="B3346" s="3" t="s">
        <v>7521</v>
      </c>
    </row>
    <row r="3347" spans="1:2">
      <c r="A3347" s="3" t="s">
        <v>7522</v>
      </c>
      <c r="B3347" s="3" t="s">
        <v>7523</v>
      </c>
    </row>
    <row r="3348" spans="1:2">
      <c r="A3348" s="3" t="s">
        <v>7524</v>
      </c>
      <c r="B3348" s="3" t="s">
        <v>7525</v>
      </c>
    </row>
    <row r="3349" spans="1:2">
      <c r="A3349" s="3" t="s">
        <v>7526</v>
      </c>
      <c r="B3349" s="3" t="s">
        <v>7527</v>
      </c>
    </row>
    <row r="3350" spans="1:2">
      <c r="A3350" s="3" t="s">
        <v>7528</v>
      </c>
      <c r="B3350" s="3" t="s">
        <v>7529</v>
      </c>
    </row>
    <row r="3351" spans="1:2">
      <c r="A3351" s="3" t="s">
        <v>7530</v>
      </c>
      <c r="B3351" s="3" t="s">
        <v>7531</v>
      </c>
    </row>
    <row r="3352" spans="1:2">
      <c r="A3352" s="3" t="s">
        <v>7532</v>
      </c>
      <c r="B3352" s="3" t="s">
        <v>7533</v>
      </c>
    </row>
    <row r="3353" spans="1:2">
      <c r="A3353" s="3" t="s">
        <v>7534</v>
      </c>
      <c r="B3353" s="3" t="s">
        <v>7535</v>
      </c>
    </row>
    <row r="3354" spans="1:2">
      <c r="A3354" s="3" t="s">
        <v>7536</v>
      </c>
      <c r="B3354" s="3" t="s">
        <v>3755</v>
      </c>
    </row>
    <row r="3355" spans="1:2">
      <c r="A3355" s="3" t="s">
        <v>7537</v>
      </c>
      <c r="B3355" s="3" t="s">
        <v>7538</v>
      </c>
    </row>
    <row r="3356" spans="1:2">
      <c r="A3356" s="3" t="s">
        <v>7539</v>
      </c>
      <c r="B3356" s="3" t="s">
        <v>7540</v>
      </c>
    </row>
    <row r="3357" spans="1:2">
      <c r="A3357" s="3" t="s">
        <v>7541</v>
      </c>
      <c r="B3357" s="3" t="s">
        <v>7542</v>
      </c>
    </row>
    <row r="3358" spans="1:2">
      <c r="A3358" s="3" t="s">
        <v>7543</v>
      </c>
      <c r="B3358" s="3" t="s">
        <v>7544</v>
      </c>
    </row>
    <row r="3359" spans="1:2">
      <c r="A3359" s="3" t="s">
        <v>7545</v>
      </c>
      <c r="B3359" s="3" t="s">
        <v>7546</v>
      </c>
    </row>
    <row r="3360" spans="1:2">
      <c r="A3360" s="3" t="s">
        <v>7547</v>
      </c>
      <c r="B3360" s="3" t="s">
        <v>7548</v>
      </c>
    </row>
    <row r="3361" spans="1:2">
      <c r="A3361" s="3" t="s">
        <v>7549</v>
      </c>
      <c r="B3361" s="3" t="s">
        <v>7550</v>
      </c>
    </row>
    <row r="3362" spans="1:2">
      <c r="A3362" s="3" t="s">
        <v>7551</v>
      </c>
      <c r="B3362" s="3" t="s">
        <v>7552</v>
      </c>
    </row>
    <row r="3363" spans="1:2">
      <c r="A3363" s="3" t="s">
        <v>7553</v>
      </c>
      <c r="B3363" s="3" t="s">
        <v>7554</v>
      </c>
    </row>
    <row r="3364" spans="1:2">
      <c r="A3364" s="3" t="s">
        <v>7555</v>
      </c>
      <c r="B3364" s="3" t="s">
        <v>7556</v>
      </c>
    </row>
    <row r="3365" spans="1:2">
      <c r="A3365" s="3" t="s">
        <v>7557</v>
      </c>
      <c r="B3365" s="3" t="s">
        <v>7558</v>
      </c>
    </row>
    <row r="3366" spans="1:2">
      <c r="A3366" s="3" t="s">
        <v>7559</v>
      </c>
      <c r="B3366" s="3" t="s">
        <v>7560</v>
      </c>
    </row>
    <row r="3367" spans="1:2">
      <c r="A3367" s="3" t="s">
        <v>7561</v>
      </c>
      <c r="B3367" s="3" t="s">
        <v>7562</v>
      </c>
    </row>
    <row r="3368" spans="1:2">
      <c r="A3368" s="3" t="s">
        <v>7563</v>
      </c>
      <c r="B3368" s="3" t="s">
        <v>7564</v>
      </c>
    </row>
    <row r="3369" spans="1:2">
      <c r="A3369" s="3" t="s">
        <v>7565</v>
      </c>
      <c r="B3369" s="3" t="s">
        <v>7566</v>
      </c>
    </row>
    <row r="3370" spans="1:2">
      <c r="A3370" s="3" t="s">
        <v>7567</v>
      </c>
      <c r="B3370" s="3" t="s">
        <v>7568</v>
      </c>
    </row>
    <row r="3371" spans="1:2">
      <c r="A3371" s="3" t="s">
        <v>7569</v>
      </c>
      <c r="B3371" s="3" t="s">
        <v>7570</v>
      </c>
    </row>
    <row r="3372" spans="1:2">
      <c r="A3372" s="3" t="s">
        <v>7571</v>
      </c>
      <c r="B3372" s="3" t="s">
        <v>7572</v>
      </c>
    </row>
    <row r="3373" spans="1:2">
      <c r="A3373" s="3" t="s">
        <v>7573</v>
      </c>
      <c r="B3373" s="3" t="s">
        <v>7574</v>
      </c>
    </row>
    <row r="3374" spans="1:2">
      <c r="A3374" s="3" t="s">
        <v>7575</v>
      </c>
      <c r="B3374" s="3" t="s">
        <v>7576</v>
      </c>
    </row>
    <row r="3375" spans="1:2">
      <c r="A3375" s="3" t="s">
        <v>7577</v>
      </c>
      <c r="B3375" s="3" t="s">
        <v>7578</v>
      </c>
    </row>
    <row r="3376" spans="1:2">
      <c r="A3376" s="3" t="s">
        <v>7579</v>
      </c>
      <c r="B3376" s="3" t="s">
        <v>7580</v>
      </c>
    </row>
    <row r="3377" spans="1:2">
      <c r="A3377" s="3" t="s">
        <v>7581</v>
      </c>
      <c r="B3377" s="3" t="s">
        <v>7582</v>
      </c>
    </row>
    <row r="3378" spans="1:2">
      <c r="A3378" s="3" t="s">
        <v>7583</v>
      </c>
      <c r="B3378" s="3" t="s">
        <v>7584</v>
      </c>
    </row>
    <row r="3379" spans="1:2">
      <c r="A3379" s="3" t="s">
        <v>7585</v>
      </c>
      <c r="B3379" s="3" t="s">
        <v>7586</v>
      </c>
    </row>
    <row r="3380" spans="1:2">
      <c r="A3380" s="3" t="s">
        <v>7587</v>
      </c>
      <c r="B3380" s="3" t="s">
        <v>7588</v>
      </c>
    </row>
    <row r="3381" spans="1:2">
      <c r="A3381" s="3" t="s">
        <v>7589</v>
      </c>
      <c r="B3381" s="3" t="s">
        <v>7590</v>
      </c>
    </row>
    <row r="3382" spans="1:2">
      <c r="A3382" s="3" t="s">
        <v>7591</v>
      </c>
      <c r="B3382" s="3" t="s">
        <v>7592</v>
      </c>
    </row>
    <row r="3383" spans="1:2">
      <c r="A3383" s="3" t="s">
        <v>7593</v>
      </c>
      <c r="B3383" s="3" t="s">
        <v>7594</v>
      </c>
    </row>
    <row r="3384" spans="1:2">
      <c r="A3384" s="3" t="s">
        <v>7595</v>
      </c>
      <c r="B3384" s="3" t="s">
        <v>7596</v>
      </c>
    </row>
    <row r="3385" spans="1:2">
      <c r="A3385" s="3" t="s">
        <v>7597</v>
      </c>
      <c r="B3385" s="3" t="s">
        <v>7598</v>
      </c>
    </row>
    <row r="3386" spans="1:2">
      <c r="A3386" s="3" t="s">
        <v>7599</v>
      </c>
      <c r="B3386" s="3" t="s">
        <v>7600</v>
      </c>
    </row>
    <row r="3387" spans="1:2">
      <c r="A3387" s="3" t="s">
        <v>7601</v>
      </c>
      <c r="B3387" s="3" t="s">
        <v>7602</v>
      </c>
    </row>
    <row r="3388" spans="1:2">
      <c r="A3388" s="3" t="s">
        <v>7603</v>
      </c>
      <c r="B3388" s="3" t="s">
        <v>7604</v>
      </c>
    </row>
    <row r="3389" spans="1:2">
      <c r="A3389" s="3" t="s">
        <v>7605</v>
      </c>
      <c r="B3389" s="3" t="s">
        <v>7602</v>
      </c>
    </row>
    <row r="3390" spans="1:2">
      <c r="A3390" s="3" t="s">
        <v>7606</v>
      </c>
      <c r="B3390" s="3" t="s">
        <v>7607</v>
      </c>
    </row>
    <row r="3391" spans="1:2">
      <c r="A3391" s="3" t="s">
        <v>7608</v>
      </c>
      <c r="B3391" s="3" t="s">
        <v>7609</v>
      </c>
    </row>
    <row r="3392" spans="1:2">
      <c r="A3392" s="3" t="s">
        <v>7610</v>
      </c>
      <c r="B3392" s="3" t="s">
        <v>7611</v>
      </c>
    </row>
    <row r="3393" spans="1:2">
      <c r="A3393" s="3" t="s">
        <v>7612</v>
      </c>
      <c r="B3393" s="3" t="s">
        <v>7613</v>
      </c>
    </row>
    <row r="3394" spans="1:2">
      <c r="A3394" s="3" t="s">
        <v>7614</v>
      </c>
      <c r="B3394" s="3" t="s">
        <v>7615</v>
      </c>
    </row>
    <row r="3395" spans="1:2">
      <c r="A3395" s="3" t="s">
        <v>7616</v>
      </c>
      <c r="B3395" s="3" t="s">
        <v>7617</v>
      </c>
    </row>
    <row r="3396" spans="1:2">
      <c r="A3396" s="3" t="s">
        <v>7618</v>
      </c>
      <c r="B3396" s="3" t="s">
        <v>7619</v>
      </c>
    </row>
    <row r="3397" spans="1:2">
      <c r="A3397" s="3" t="s">
        <v>7620</v>
      </c>
      <c r="B3397" s="3" t="s">
        <v>7621</v>
      </c>
    </row>
    <row r="3398" spans="1:2">
      <c r="A3398" s="3" t="s">
        <v>7622</v>
      </c>
      <c r="B3398" s="3" t="s">
        <v>7623</v>
      </c>
    </row>
    <row r="3399" spans="1:2">
      <c r="A3399" s="3" t="s">
        <v>7624</v>
      </c>
      <c r="B3399" s="3" t="s">
        <v>7625</v>
      </c>
    </row>
    <row r="3400" spans="1:2">
      <c r="A3400" s="3" t="s">
        <v>7626</v>
      </c>
      <c r="B3400" s="3" t="s">
        <v>7627</v>
      </c>
    </row>
    <row r="3401" spans="1:2">
      <c r="A3401" s="3" t="s">
        <v>7628</v>
      </c>
      <c r="B3401" s="3" t="s">
        <v>7629</v>
      </c>
    </row>
    <row r="3402" spans="1:2">
      <c r="A3402" s="3" t="s">
        <v>7630</v>
      </c>
      <c r="B3402" s="3" t="s">
        <v>7631</v>
      </c>
    </row>
    <row r="3403" spans="1:2">
      <c r="A3403" s="3" t="s">
        <v>7632</v>
      </c>
      <c r="B3403" s="3" t="s">
        <v>7633</v>
      </c>
    </row>
    <row r="3404" spans="1:2">
      <c r="A3404" s="3" t="s">
        <v>7634</v>
      </c>
      <c r="B3404" s="3" t="s">
        <v>7635</v>
      </c>
    </row>
    <row r="3405" spans="1:2">
      <c r="A3405" s="3" t="s">
        <v>7636</v>
      </c>
      <c r="B3405" s="3" t="s">
        <v>7637</v>
      </c>
    </row>
    <row r="3406" spans="1:2">
      <c r="A3406" s="3" t="s">
        <v>7638</v>
      </c>
      <c r="B3406" s="3" t="s">
        <v>7639</v>
      </c>
    </row>
    <row r="3407" spans="1:2">
      <c r="A3407" s="3" t="s">
        <v>7640</v>
      </c>
      <c r="B3407" s="3" t="s">
        <v>7641</v>
      </c>
    </row>
    <row r="3408" spans="1:2">
      <c r="A3408" s="3" t="s">
        <v>7642</v>
      </c>
      <c r="B3408" s="3" t="s">
        <v>7643</v>
      </c>
    </row>
    <row r="3409" spans="1:2">
      <c r="A3409" s="3" t="s">
        <v>7644</v>
      </c>
      <c r="B3409" s="3" t="s">
        <v>7645</v>
      </c>
    </row>
    <row r="3410" spans="1:2">
      <c r="A3410" s="3" t="s">
        <v>7646</v>
      </c>
      <c r="B3410" s="3" t="s">
        <v>7647</v>
      </c>
    </row>
    <row r="3411" spans="1:2">
      <c r="A3411" s="3" t="s">
        <v>7648</v>
      </c>
      <c r="B3411" s="3" t="s">
        <v>7649</v>
      </c>
    </row>
    <row r="3412" spans="1:2">
      <c r="A3412" s="3" t="s">
        <v>7650</v>
      </c>
      <c r="B3412" s="3" t="s">
        <v>7651</v>
      </c>
    </row>
    <row r="3413" spans="1:2">
      <c r="A3413" s="3" t="s">
        <v>7652</v>
      </c>
      <c r="B3413" s="3" t="s">
        <v>7653</v>
      </c>
    </row>
    <row r="3414" spans="1:2">
      <c r="A3414" s="3" t="s">
        <v>7654</v>
      </c>
      <c r="B3414" s="3" t="s">
        <v>7655</v>
      </c>
    </row>
    <row r="3415" spans="1:2">
      <c r="A3415" s="3" t="s">
        <v>7656</v>
      </c>
      <c r="B3415" s="3" t="s">
        <v>7657</v>
      </c>
    </row>
    <row r="3416" spans="1:2">
      <c r="A3416" s="3" t="s">
        <v>7658</v>
      </c>
      <c r="B3416" s="3" t="s">
        <v>7659</v>
      </c>
    </row>
    <row r="3417" spans="1:2">
      <c r="A3417" s="3" t="s">
        <v>7660</v>
      </c>
      <c r="B3417" s="3" t="s">
        <v>7661</v>
      </c>
    </row>
    <row r="3418" spans="1:2">
      <c r="A3418" s="3" t="s">
        <v>7662</v>
      </c>
      <c r="B3418" s="3" t="s">
        <v>7663</v>
      </c>
    </row>
    <row r="3419" spans="1:2">
      <c r="A3419" s="3" t="s">
        <v>7664</v>
      </c>
      <c r="B3419" s="3" t="s">
        <v>7665</v>
      </c>
    </row>
    <row r="3420" spans="1:2">
      <c r="A3420" s="3" t="s">
        <v>7666</v>
      </c>
      <c r="B3420" s="3" t="s">
        <v>7667</v>
      </c>
    </row>
    <row r="3421" spans="1:2">
      <c r="A3421" s="3" t="s">
        <v>7668</v>
      </c>
      <c r="B3421" s="3" t="s">
        <v>7669</v>
      </c>
    </row>
    <row r="3422" spans="1:2">
      <c r="A3422" s="3" t="s">
        <v>7670</v>
      </c>
      <c r="B3422" s="3" t="s">
        <v>7671</v>
      </c>
    </row>
    <row r="3423" spans="1:2">
      <c r="A3423" s="3" t="s">
        <v>7672</v>
      </c>
      <c r="B3423" s="3" t="s">
        <v>7673</v>
      </c>
    </row>
    <row r="3424" spans="1:2">
      <c r="A3424" s="3" t="s">
        <v>7674</v>
      </c>
      <c r="B3424" s="3" t="s">
        <v>7675</v>
      </c>
    </row>
    <row r="3425" spans="1:2">
      <c r="A3425" s="3" t="s">
        <v>7676</v>
      </c>
      <c r="B3425" s="3" t="s">
        <v>7677</v>
      </c>
    </row>
    <row r="3426" spans="1:2">
      <c r="A3426" s="3" t="s">
        <v>7678</v>
      </c>
      <c r="B3426" s="3" t="s">
        <v>7679</v>
      </c>
    </row>
    <row r="3427" spans="1:2">
      <c r="A3427" s="3" t="s">
        <v>7680</v>
      </c>
      <c r="B3427" s="3" t="s">
        <v>7681</v>
      </c>
    </row>
    <row r="3428" spans="1:2">
      <c r="A3428" s="3" t="s">
        <v>7682</v>
      </c>
      <c r="B3428" s="3" t="s">
        <v>7683</v>
      </c>
    </row>
    <row r="3429" spans="1:2">
      <c r="A3429" s="3" t="s">
        <v>7684</v>
      </c>
      <c r="B3429" s="3" t="s">
        <v>7685</v>
      </c>
    </row>
    <row r="3430" spans="1:2">
      <c r="A3430" s="3" t="s">
        <v>7686</v>
      </c>
      <c r="B3430" s="3" t="s">
        <v>7687</v>
      </c>
    </row>
    <row r="3431" spans="1:2">
      <c r="A3431" s="3" t="s">
        <v>7688</v>
      </c>
      <c r="B3431" s="3" t="s">
        <v>7689</v>
      </c>
    </row>
    <row r="3432" spans="1:2">
      <c r="A3432" s="3" t="s">
        <v>7690</v>
      </c>
      <c r="B3432" s="3" t="s">
        <v>7691</v>
      </c>
    </row>
    <row r="3433" spans="1:2">
      <c r="A3433" s="3" t="s">
        <v>7692</v>
      </c>
      <c r="B3433" s="3" t="s">
        <v>4051</v>
      </c>
    </row>
    <row r="3434" spans="1:2">
      <c r="A3434" s="3" t="s">
        <v>7693</v>
      </c>
      <c r="B3434" s="3" t="s">
        <v>7694</v>
      </c>
    </row>
    <row r="3435" spans="1:2">
      <c r="A3435" s="3" t="s">
        <v>7695</v>
      </c>
      <c r="B3435" s="3" t="s">
        <v>7696</v>
      </c>
    </row>
    <row r="3436" spans="1:2">
      <c r="A3436" s="3" t="s">
        <v>7697</v>
      </c>
      <c r="B3436" s="3" t="s">
        <v>7698</v>
      </c>
    </row>
    <row r="3437" spans="1:2">
      <c r="A3437" s="3" t="s">
        <v>7699</v>
      </c>
      <c r="B3437" s="3" t="s">
        <v>7700</v>
      </c>
    </row>
    <row r="3438" spans="1:2">
      <c r="A3438" s="3" t="s">
        <v>7701</v>
      </c>
      <c r="B3438" s="3" t="s">
        <v>7702</v>
      </c>
    </row>
    <row r="3439" spans="1:2">
      <c r="A3439" s="3" t="s">
        <v>7703</v>
      </c>
      <c r="B3439" s="3" t="s">
        <v>7704</v>
      </c>
    </row>
    <row r="3440" spans="1:2">
      <c r="A3440" s="3" t="s">
        <v>7705</v>
      </c>
      <c r="B3440" s="3" t="s">
        <v>7706</v>
      </c>
    </row>
    <row r="3441" spans="1:2">
      <c r="A3441" s="3" t="s">
        <v>7707</v>
      </c>
      <c r="B3441" s="3" t="s">
        <v>7708</v>
      </c>
    </row>
    <row r="3442" spans="1:2">
      <c r="A3442" s="3" t="s">
        <v>7709</v>
      </c>
      <c r="B3442" s="3" t="s">
        <v>7710</v>
      </c>
    </row>
    <row r="3443" spans="1:2">
      <c r="A3443" s="3" t="s">
        <v>7711</v>
      </c>
      <c r="B3443" s="3" t="s">
        <v>7712</v>
      </c>
    </row>
    <row r="3444" spans="1:2">
      <c r="A3444" s="3" t="s">
        <v>7713</v>
      </c>
      <c r="B3444" s="3" t="s">
        <v>7714</v>
      </c>
    </row>
    <row r="3445" spans="1:2">
      <c r="A3445" s="3" t="s">
        <v>7715</v>
      </c>
      <c r="B3445" s="3" t="s">
        <v>7716</v>
      </c>
    </row>
    <row r="3446" spans="1:2">
      <c r="A3446" s="3" t="s">
        <v>7717</v>
      </c>
      <c r="B3446" s="3" t="s">
        <v>7718</v>
      </c>
    </row>
    <row r="3447" spans="1:2">
      <c r="A3447" s="3" t="s">
        <v>7719</v>
      </c>
      <c r="B3447" s="3" t="s">
        <v>7720</v>
      </c>
    </row>
    <row r="3448" spans="1:2">
      <c r="A3448" s="3" t="s">
        <v>7721</v>
      </c>
      <c r="B3448" s="3" t="s">
        <v>7722</v>
      </c>
    </row>
    <row r="3449" spans="1:2">
      <c r="A3449" s="3" t="s">
        <v>7723</v>
      </c>
      <c r="B3449" s="3" t="s">
        <v>7724</v>
      </c>
    </row>
    <row r="3450" spans="1:2">
      <c r="A3450" s="3" t="s">
        <v>7725</v>
      </c>
      <c r="B3450" s="3" t="s">
        <v>7726</v>
      </c>
    </row>
    <row r="3451" spans="1:2">
      <c r="A3451" s="3" t="s">
        <v>7727</v>
      </c>
      <c r="B3451" s="3" t="s">
        <v>7728</v>
      </c>
    </row>
    <row r="3452" spans="1:2">
      <c r="A3452" s="3" t="s">
        <v>7729</v>
      </c>
      <c r="B3452" s="3" t="s">
        <v>7730</v>
      </c>
    </row>
    <row r="3453" spans="1:2">
      <c r="A3453" s="3" t="s">
        <v>7731</v>
      </c>
      <c r="B3453" s="3" t="s">
        <v>7732</v>
      </c>
    </row>
    <row r="3454" spans="1:2">
      <c r="A3454" s="3" t="s">
        <v>7733</v>
      </c>
      <c r="B3454" s="3" t="s">
        <v>7734</v>
      </c>
    </row>
    <row r="3455" spans="1:2">
      <c r="A3455" s="3" t="s">
        <v>7735</v>
      </c>
      <c r="B3455" s="3" t="s">
        <v>7736</v>
      </c>
    </row>
    <row r="3456" spans="1:2">
      <c r="A3456" s="3" t="s">
        <v>7737</v>
      </c>
      <c r="B3456" s="3" t="s">
        <v>7738</v>
      </c>
    </row>
    <row r="3457" spans="1:2">
      <c r="A3457" s="3" t="s">
        <v>7739</v>
      </c>
      <c r="B3457" s="3" t="s">
        <v>7740</v>
      </c>
    </row>
    <row r="3458" spans="1:2">
      <c r="A3458" s="3" t="s">
        <v>7741</v>
      </c>
      <c r="B3458" s="3" t="s">
        <v>7742</v>
      </c>
    </row>
    <row r="3459" spans="1:2">
      <c r="A3459" s="3" t="s">
        <v>7743</v>
      </c>
      <c r="B3459" s="3" t="s">
        <v>7744</v>
      </c>
    </row>
    <row r="3460" spans="1:2">
      <c r="A3460" s="3" t="s">
        <v>7745</v>
      </c>
      <c r="B3460" s="3" t="s">
        <v>7746</v>
      </c>
    </row>
    <row r="3461" spans="1:2">
      <c r="A3461" s="3" t="s">
        <v>7747</v>
      </c>
      <c r="B3461" s="3" t="s">
        <v>7748</v>
      </c>
    </row>
    <row r="3462" spans="1:2">
      <c r="A3462" s="3" t="s">
        <v>7749</v>
      </c>
      <c r="B3462" s="3" t="s">
        <v>7750</v>
      </c>
    </row>
    <row r="3463" spans="1:2">
      <c r="A3463" s="3" t="s">
        <v>7751</v>
      </c>
      <c r="B3463" s="3" t="s">
        <v>7752</v>
      </c>
    </row>
    <row r="3464" spans="1:2">
      <c r="A3464" s="3" t="s">
        <v>7753</v>
      </c>
      <c r="B3464" s="3" t="s">
        <v>7754</v>
      </c>
    </row>
    <row r="3465" spans="1:2">
      <c r="A3465" s="3" t="s">
        <v>7755</v>
      </c>
      <c r="B3465" s="3" t="s">
        <v>7756</v>
      </c>
    </row>
    <row r="3466" spans="1:2">
      <c r="A3466" s="3" t="s">
        <v>7757</v>
      </c>
      <c r="B3466" s="3" t="s">
        <v>7758</v>
      </c>
    </row>
    <row r="3467" spans="1:2">
      <c r="A3467" s="3" t="s">
        <v>7759</v>
      </c>
      <c r="B3467" s="3" t="s">
        <v>7760</v>
      </c>
    </row>
    <row r="3468" spans="1:2">
      <c r="A3468" s="3" t="s">
        <v>7761</v>
      </c>
      <c r="B3468" s="3" t="s">
        <v>7762</v>
      </c>
    </row>
    <row r="3469" spans="1:2">
      <c r="A3469" s="3" t="s">
        <v>7763</v>
      </c>
      <c r="B3469" s="3" t="s">
        <v>7764</v>
      </c>
    </row>
    <row r="3470" spans="1:2">
      <c r="A3470" s="3" t="s">
        <v>7765</v>
      </c>
      <c r="B3470" s="3" t="s">
        <v>7766</v>
      </c>
    </row>
    <row r="3471" spans="1:2">
      <c r="A3471" s="3" t="s">
        <v>7767</v>
      </c>
      <c r="B3471" s="3" t="s">
        <v>7768</v>
      </c>
    </row>
    <row r="3472" spans="1:2">
      <c r="A3472" s="3" t="s">
        <v>7769</v>
      </c>
      <c r="B3472" s="3" t="s">
        <v>7770</v>
      </c>
    </row>
    <row r="3473" spans="1:2">
      <c r="A3473" s="3" t="s">
        <v>7771</v>
      </c>
      <c r="B3473" s="3" t="s">
        <v>7772</v>
      </c>
    </row>
    <row r="3474" spans="1:2">
      <c r="A3474" s="3" t="s">
        <v>7773</v>
      </c>
      <c r="B3474" s="3" t="s">
        <v>7774</v>
      </c>
    </row>
    <row r="3475" spans="1:2">
      <c r="A3475" s="3" t="s">
        <v>7775</v>
      </c>
      <c r="B3475" s="3" t="s">
        <v>7776</v>
      </c>
    </row>
    <row r="3476" spans="1:2">
      <c r="A3476" s="3" t="s">
        <v>7777</v>
      </c>
      <c r="B3476" s="3" t="s">
        <v>7778</v>
      </c>
    </row>
    <row r="3477" spans="1:2">
      <c r="A3477" s="3" t="s">
        <v>7779</v>
      </c>
      <c r="B3477" s="3" t="s">
        <v>7780</v>
      </c>
    </row>
    <row r="3478" spans="1:2">
      <c r="A3478" s="3" t="s">
        <v>7781</v>
      </c>
      <c r="B3478" s="3" t="s">
        <v>7782</v>
      </c>
    </row>
    <row r="3479" spans="1:2">
      <c r="A3479" s="3" t="s">
        <v>7783</v>
      </c>
      <c r="B3479" s="3" t="s">
        <v>7784</v>
      </c>
    </row>
    <row r="3480" spans="1:2">
      <c r="A3480" s="3" t="s">
        <v>7785</v>
      </c>
      <c r="B3480" s="3" t="s">
        <v>7786</v>
      </c>
    </row>
    <row r="3481" spans="1:2">
      <c r="A3481" s="3" t="s">
        <v>7787</v>
      </c>
      <c r="B3481" s="3" t="s">
        <v>7788</v>
      </c>
    </row>
    <row r="3482" spans="1:2">
      <c r="A3482" s="3" t="s">
        <v>7789</v>
      </c>
      <c r="B3482" s="3" t="s">
        <v>7790</v>
      </c>
    </row>
    <row r="3483" spans="1:2">
      <c r="A3483" s="3" t="s">
        <v>7791</v>
      </c>
      <c r="B3483" s="3" t="s">
        <v>7792</v>
      </c>
    </row>
    <row r="3484" spans="1:2">
      <c r="A3484" s="3" t="s">
        <v>7793</v>
      </c>
      <c r="B3484" s="3" t="s">
        <v>7794</v>
      </c>
    </row>
    <row r="3485" spans="1:2">
      <c r="A3485" s="3" t="s">
        <v>7795</v>
      </c>
      <c r="B3485" s="3" t="s">
        <v>7796</v>
      </c>
    </row>
    <row r="3486" spans="1:2">
      <c r="A3486" s="3" t="s">
        <v>7797</v>
      </c>
      <c r="B3486" s="3" t="s">
        <v>7798</v>
      </c>
    </row>
    <row r="3487" spans="1:2">
      <c r="A3487" s="3" t="s">
        <v>7799</v>
      </c>
      <c r="B3487" s="3" t="s">
        <v>7800</v>
      </c>
    </row>
    <row r="3488" spans="1:2">
      <c r="A3488" s="3" t="s">
        <v>7801</v>
      </c>
      <c r="B3488" s="3" t="s">
        <v>7802</v>
      </c>
    </row>
    <row r="3489" spans="1:2">
      <c r="A3489" s="3" t="s">
        <v>7803</v>
      </c>
      <c r="B3489" s="3" t="s">
        <v>7804</v>
      </c>
    </row>
    <row r="3490" spans="1:2">
      <c r="A3490" s="3" t="s">
        <v>7805</v>
      </c>
      <c r="B3490" s="3" t="s">
        <v>7806</v>
      </c>
    </row>
    <row r="3491" spans="1:2">
      <c r="A3491" s="3" t="s">
        <v>7807</v>
      </c>
      <c r="B3491" s="3" t="s">
        <v>7806</v>
      </c>
    </row>
    <row r="3492" spans="1:2">
      <c r="A3492" s="3" t="s">
        <v>7808</v>
      </c>
      <c r="B3492" s="3" t="s">
        <v>7809</v>
      </c>
    </row>
    <row r="3493" spans="1:2">
      <c r="A3493" s="3" t="s">
        <v>7810</v>
      </c>
      <c r="B3493" s="3" t="s">
        <v>7811</v>
      </c>
    </row>
    <row r="3494" spans="1:2">
      <c r="A3494" s="3" t="s">
        <v>7812</v>
      </c>
      <c r="B3494" s="3" t="s">
        <v>7813</v>
      </c>
    </row>
    <row r="3495" spans="1:2">
      <c r="A3495" s="3" t="s">
        <v>7814</v>
      </c>
      <c r="B3495" s="3" t="s">
        <v>7815</v>
      </c>
    </row>
    <row r="3496" spans="1:2">
      <c r="A3496" s="3" t="s">
        <v>7816</v>
      </c>
      <c r="B3496" s="3" t="s">
        <v>7817</v>
      </c>
    </row>
    <row r="3497" spans="1:2">
      <c r="A3497" s="3" t="s">
        <v>7818</v>
      </c>
      <c r="B3497" s="3" t="s">
        <v>7819</v>
      </c>
    </row>
    <row r="3498" spans="1:2">
      <c r="A3498" s="3" t="s">
        <v>7820</v>
      </c>
      <c r="B3498" s="3" t="s">
        <v>7821</v>
      </c>
    </row>
    <row r="3499" spans="1:2">
      <c r="A3499" s="3" t="s">
        <v>7822</v>
      </c>
      <c r="B3499" s="3" t="s">
        <v>7823</v>
      </c>
    </row>
    <row r="3500" spans="1:2">
      <c r="A3500" s="3" t="s">
        <v>7824</v>
      </c>
      <c r="B3500" s="3" t="s">
        <v>7825</v>
      </c>
    </row>
    <row r="3501" spans="1:2">
      <c r="A3501" s="3" t="s">
        <v>7826</v>
      </c>
      <c r="B3501" s="3" t="s">
        <v>7827</v>
      </c>
    </row>
    <row r="3502" spans="1:2">
      <c r="A3502" s="3" t="s">
        <v>7828</v>
      </c>
      <c r="B3502" s="3" t="s">
        <v>7829</v>
      </c>
    </row>
    <row r="3503" spans="1:2">
      <c r="A3503" s="3" t="s">
        <v>7830</v>
      </c>
      <c r="B3503" s="3" t="s">
        <v>7831</v>
      </c>
    </row>
    <row r="3504" spans="1:2">
      <c r="A3504" s="3" t="s">
        <v>7832</v>
      </c>
      <c r="B3504" s="3" t="s">
        <v>7833</v>
      </c>
    </row>
    <row r="3505" spans="1:2">
      <c r="A3505" s="3" t="s">
        <v>7834</v>
      </c>
      <c r="B3505" s="3" t="s">
        <v>7835</v>
      </c>
    </row>
    <row r="3506" spans="1:2">
      <c r="A3506" s="3" t="s">
        <v>7836</v>
      </c>
      <c r="B3506" s="3" t="s">
        <v>7837</v>
      </c>
    </row>
    <row r="3507" spans="1:2">
      <c r="A3507" s="3" t="s">
        <v>7838</v>
      </c>
      <c r="B3507" s="3" t="s">
        <v>7839</v>
      </c>
    </row>
    <row r="3508" spans="1:2">
      <c r="A3508" s="3" t="s">
        <v>7840</v>
      </c>
      <c r="B3508" s="3" t="s">
        <v>7841</v>
      </c>
    </row>
    <row r="3509" spans="1:2">
      <c r="A3509" s="3" t="s">
        <v>7842</v>
      </c>
      <c r="B3509" s="3" t="s">
        <v>7843</v>
      </c>
    </row>
    <row r="3510" spans="1:2">
      <c r="A3510" s="3" t="s">
        <v>7844</v>
      </c>
      <c r="B3510" s="3" t="s">
        <v>7845</v>
      </c>
    </row>
    <row r="3511" spans="1:2">
      <c r="A3511" s="3" t="s">
        <v>7846</v>
      </c>
      <c r="B3511" s="3" t="s">
        <v>7847</v>
      </c>
    </row>
    <row r="3512" spans="1:2">
      <c r="A3512" s="3" t="s">
        <v>7848</v>
      </c>
      <c r="B3512" s="3" t="s">
        <v>7849</v>
      </c>
    </row>
    <row r="3513" spans="1:2">
      <c r="A3513" s="3" t="s">
        <v>7850</v>
      </c>
      <c r="B3513" s="3" t="s">
        <v>7851</v>
      </c>
    </row>
    <row r="3514" spans="1:2">
      <c r="A3514" s="3" t="s">
        <v>7852</v>
      </c>
      <c r="B3514" s="3" t="s">
        <v>7853</v>
      </c>
    </row>
    <row r="3515" spans="1:2">
      <c r="A3515" s="3" t="s">
        <v>7854</v>
      </c>
      <c r="B3515" s="3" t="s">
        <v>7855</v>
      </c>
    </row>
    <row r="3516" spans="1:2">
      <c r="A3516" s="3" t="s">
        <v>7856</v>
      </c>
      <c r="B3516" s="3" t="s">
        <v>7857</v>
      </c>
    </row>
    <row r="3517" spans="1:2">
      <c r="A3517" s="3" t="s">
        <v>7858</v>
      </c>
      <c r="B3517" s="3" t="s">
        <v>7859</v>
      </c>
    </row>
    <row r="3518" spans="1:2">
      <c r="A3518" s="3" t="s">
        <v>7860</v>
      </c>
      <c r="B3518" s="3" t="s">
        <v>7861</v>
      </c>
    </row>
    <row r="3519" spans="1:2">
      <c r="A3519" s="3" t="s">
        <v>7862</v>
      </c>
      <c r="B3519" s="3" t="s">
        <v>7863</v>
      </c>
    </row>
    <row r="3520" spans="1:2">
      <c r="A3520" s="3" t="s">
        <v>7864</v>
      </c>
      <c r="B3520" s="3" t="s">
        <v>7865</v>
      </c>
    </row>
    <row r="3521" spans="1:2">
      <c r="A3521" s="3" t="s">
        <v>7866</v>
      </c>
      <c r="B3521" s="3" t="s">
        <v>7867</v>
      </c>
    </row>
    <row r="3522" spans="1:2">
      <c r="A3522" s="3" t="s">
        <v>7868</v>
      </c>
      <c r="B3522" s="3" t="s">
        <v>7869</v>
      </c>
    </row>
    <row r="3523" spans="1:2">
      <c r="A3523" s="3" t="s">
        <v>7870</v>
      </c>
      <c r="B3523" s="3" t="s">
        <v>7871</v>
      </c>
    </row>
    <row r="3524" spans="1:2">
      <c r="A3524" s="3" t="s">
        <v>7872</v>
      </c>
      <c r="B3524" s="3" t="s">
        <v>7873</v>
      </c>
    </row>
    <row r="3525" spans="1:2">
      <c r="A3525" s="3" t="s">
        <v>7874</v>
      </c>
      <c r="B3525" s="3" t="s">
        <v>7875</v>
      </c>
    </row>
    <row r="3526" spans="1:2">
      <c r="A3526" s="3" t="s">
        <v>7876</v>
      </c>
      <c r="B3526" s="3" t="s">
        <v>7877</v>
      </c>
    </row>
    <row r="3527" spans="1:2">
      <c r="A3527" s="3" t="s">
        <v>7878</v>
      </c>
      <c r="B3527" s="3" t="s">
        <v>7879</v>
      </c>
    </row>
    <row r="3528" spans="1:2">
      <c r="A3528" s="3" t="s">
        <v>7880</v>
      </c>
      <c r="B3528" s="3" t="s">
        <v>7881</v>
      </c>
    </row>
    <row r="3529" spans="1:2">
      <c r="A3529" s="3" t="s">
        <v>7882</v>
      </c>
      <c r="B3529" s="3" t="s">
        <v>7883</v>
      </c>
    </row>
    <row r="3530" spans="1:2">
      <c r="A3530" s="3" t="s">
        <v>7884</v>
      </c>
      <c r="B3530" s="3" t="s">
        <v>7885</v>
      </c>
    </row>
    <row r="3531" spans="1:2">
      <c r="A3531" s="3" t="s">
        <v>7886</v>
      </c>
      <c r="B3531" s="3" t="s">
        <v>7887</v>
      </c>
    </row>
    <row r="3532" spans="1:2">
      <c r="A3532" s="3" t="s">
        <v>7888</v>
      </c>
      <c r="B3532" s="3" t="s">
        <v>7889</v>
      </c>
    </row>
    <row r="3533" spans="1:2">
      <c r="A3533" s="3" t="s">
        <v>7890</v>
      </c>
      <c r="B3533" s="3" t="s">
        <v>7891</v>
      </c>
    </row>
    <row r="3534" spans="1:2">
      <c r="A3534" s="3" t="s">
        <v>7892</v>
      </c>
      <c r="B3534" s="3" t="s">
        <v>7893</v>
      </c>
    </row>
    <row r="3535" spans="1:2">
      <c r="A3535" s="3" t="s">
        <v>7894</v>
      </c>
      <c r="B3535" s="3" t="s">
        <v>7895</v>
      </c>
    </row>
    <row r="3536" spans="1:2">
      <c r="A3536" s="3" t="s">
        <v>7896</v>
      </c>
      <c r="B3536" s="3" t="s">
        <v>7897</v>
      </c>
    </row>
    <row r="3537" spans="1:2">
      <c r="A3537" s="3" t="s">
        <v>7898</v>
      </c>
      <c r="B3537" s="3" t="s">
        <v>7899</v>
      </c>
    </row>
    <row r="3538" spans="1:2">
      <c r="A3538" s="3" t="s">
        <v>7900</v>
      </c>
      <c r="B3538" s="3" t="s">
        <v>7901</v>
      </c>
    </row>
    <row r="3539" spans="1:2">
      <c r="A3539" s="3" t="s">
        <v>7902</v>
      </c>
      <c r="B3539" s="3" t="s">
        <v>7903</v>
      </c>
    </row>
    <row r="3540" spans="1:2">
      <c r="A3540" s="3" t="s">
        <v>7904</v>
      </c>
      <c r="B3540" s="3" t="s">
        <v>7905</v>
      </c>
    </row>
    <row r="3541" spans="1:2">
      <c r="A3541" s="3" t="s">
        <v>7906</v>
      </c>
      <c r="B3541" s="3" t="s">
        <v>7907</v>
      </c>
    </row>
    <row r="3542" spans="1:2">
      <c r="A3542" s="3" t="s">
        <v>7908</v>
      </c>
      <c r="B3542" s="3" t="s">
        <v>7909</v>
      </c>
    </row>
    <row r="3543" spans="1:2">
      <c r="A3543" s="3" t="s">
        <v>7910</v>
      </c>
      <c r="B3543" s="3" t="s">
        <v>7911</v>
      </c>
    </row>
    <row r="3544" spans="1:2">
      <c r="A3544" s="3" t="s">
        <v>7912</v>
      </c>
      <c r="B3544" s="3" t="s">
        <v>7913</v>
      </c>
    </row>
    <row r="3545" spans="1:2">
      <c r="A3545" s="3" t="s">
        <v>7914</v>
      </c>
      <c r="B3545" s="3" t="s">
        <v>7915</v>
      </c>
    </row>
    <row r="3546" spans="1:2">
      <c r="A3546" s="3" t="s">
        <v>7916</v>
      </c>
      <c r="B3546" s="3" t="s">
        <v>7917</v>
      </c>
    </row>
    <row r="3547" spans="1:2">
      <c r="A3547" s="3" t="s">
        <v>7918</v>
      </c>
      <c r="B3547" s="3" t="s">
        <v>7919</v>
      </c>
    </row>
    <row r="3548" spans="1:2">
      <c r="A3548" s="3" t="s">
        <v>7920</v>
      </c>
      <c r="B3548" s="3" t="s">
        <v>7921</v>
      </c>
    </row>
    <row r="3549" spans="1:2">
      <c r="A3549" s="3" t="s">
        <v>7922</v>
      </c>
      <c r="B3549" s="3" t="s">
        <v>7923</v>
      </c>
    </row>
    <row r="3550" spans="1:2">
      <c r="A3550" s="3" t="s">
        <v>7924</v>
      </c>
      <c r="B3550" s="3" t="s">
        <v>7925</v>
      </c>
    </row>
    <row r="3551" spans="1:2">
      <c r="A3551" s="3" t="s">
        <v>7926</v>
      </c>
      <c r="B3551" s="3" t="s">
        <v>7927</v>
      </c>
    </row>
    <row r="3552" spans="1:2">
      <c r="A3552" s="3" t="s">
        <v>7928</v>
      </c>
      <c r="B3552" s="3" t="s">
        <v>7929</v>
      </c>
    </row>
    <row r="3553" spans="1:2">
      <c r="A3553" s="3" t="s">
        <v>7930</v>
      </c>
      <c r="B3553" s="3" t="s">
        <v>7931</v>
      </c>
    </row>
    <row r="3554" spans="1:2">
      <c r="A3554" s="3" t="s">
        <v>7932</v>
      </c>
      <c r="B3554" s="3" t="s">
        <v>7933</v>
      </c>
    </row>
    <row r="3555" spans="1:2">
      <c r="A3555" s="3" t="s">
        <v>7934</v>
      </c>
      <c r="B3555" s="3" t="s">
        <v>7935</v>
      </c>
    </row>
    <row r="3556" spans="1:2">
      <c r="A3556" s="3" t="s">
        <v>7936</v>
      </c>
      <c r="B3556" s="3" t="s">
        <v>7937</v>
      </c>
    </row>
    <row r="3557" spans="1:2">
      <c r="A3557" s="3" t="s">
        <v>7938</v>
      </c>
      <c r="B3557" s="3" t="s">
        <v>7939</v>
      </c>
    </row>
    <row r="3558" spans="1:2">
      <c r="A3558" s="3" t="s">
        <v>7940</v>
      </c>
      <c r="B3558" s="3" t="s">
        <v>7941</v>
      </c>
    </row>
    <row r="3559" spans="1:2">
      <c r="A3559" s="3" t="s">
        <v>7942</v>
      </c>
      <c r="B3559" s="3" t="s">
        <v>7943</v>
      </c>
    </row>
    <row r="3560" spans="1:2">
      <c r="A3560" s="3" t="s">
        <v>7944</v>
      </c>
      <c r="B3560" s="3" t="s">
        <v>7945</v>
      </c>
    </row>
    <row r="3561" spans="1:2">
      <c r="A3561" s="3" t="s">
        <v>7946</v>
      </c>
      <c r="B3561" s="3" t="s">
        <v>7947</v>
      </c>
    </row>
    <row r="3562" spans="1:2">
      <c r="A3562" s="3" t="s">
        <v>7948</v>
      </c>
      <c r="B3562" s="3" t="s">
        <v>7949</v>
      </c>
    </row>
    <row r="3563" spans="1:2">
      <c r="A3563" s="3" t="s">
        <v>7950</v>
      </c>
      <c r="B3563" s="3" t="s">
        <v>7951</v>
      </c>
    </row>
    <row r="3564" spans="1:2">
      <c r="A3564" s="3" t="s">
        <v>7952</v>
      </c>
      <c r="B3564" s="3" t="s">
        <v>7953</v>
      </c>
    </row>
    <row r="3565" spans="1:2">
      <c r="A3565" s="3" t="s">
        <v>7954</v>
      </c>
      <c r="B3565" s="3" t="s">
        <v>7955</v>
      </c>
    </row>
    <row r="3566" spans="1:2">
      <c r="A3566" s="3" t="s">
        <v>7956</v>
      </c>
      <c r="B3566" s="3" t="s">
        <v>7957</v>
      </c>
    </row>
    <row r="3567" spans="1:2">
      <c r="A3567" s="3" t="s">
        <v>7958</v>
      </c>
      <c r="B3567" s="3" t="s">
        <v>7959</v>
      </c>
    </row>
    <row r="3568" spans="1:2">
      <c r="A3568" s="3" t="s">
        <v>7960</v>
      </c>
      <c r="B3568" s="3" t="s">
        <v>7961</v>
      </c>
    </row>
    <row r="3569" spans="1:2">
      <c r="A3569" s="3" t="s">
        <v>7962</v>
      </c>
      <c r="B3569" s="3" t="s">
        <v>7963</v>
      </c>
    </row>
    <row r="3570" spans="1:2">
      <c r="A3570" s="3" t="s">
        <v>7964</v>
      </c>
      <c r="B3570" s="3" t="s">
        <v>7965</v>
      </c>
    </row>
    <row r="3571" spans="1:2">
      <c r="A3571" s="3" t="s">
        <v>7966</v>
      </c>
      <c r="B3571" s="3" t="s">
        <v>7967</v>
      </c>
    </row>
    <row r="3572" spans="1:2">
      <c r="A3572" s="3" t="s">
        <v>7968</v>
      </c>
      <c r="B3572" s="3" t="s">
        <v>7969</v>
      </c>
    </row>
    <row r="3573" spans="1:2">
      <c r="A3573" s="3" t="s">
        <v>7970</v>
      </c>
      <c r="B3573" s="3" t="s">
        <v>7971</v>
      </c>
    </row>
    <row r="3574" spans="1:2">
      <c r="A3574" s="3" t="s">
        <v>7972</v>
      </c>
      <c r="B3574" s="3" t="s">
        <v>7973</v>
      </c>
    </row>
    <row r="3575" spans="1:2">
      <c r="A3575" s="3" t="s">
        <v>7974</v>
      </c>
      <c r="B3575" s="3" t="s">
        <v>7975</v>
      </c>
    </row>
    <row r="3576" spans="1:2">
      <c r="A3576" s="3" t="s">
        <v>7976</v>
      </c>
      <c r="B3576" s="3" t="s">
        <v>7977</v>
      </c>
    </row>
    <row r="3577" spans="1:2">
      <c r="A3577" s="3" t="s">
        <v>7978</v>
      </c>
      <c r="B3577" s="3" t="s">
        <v>7979</v>
      </c>
    </row>
    <row r="3578" spans="1:2">
      <c r="A3578" s="3" t="s">
        <v>7980</v>
      </c>
      <c r="B3578" s="3" t="s">
        <v>7981</v>
      </c>
    </row>
    <row r="3579" spans="1:2">
      <c r="A3579" s="3" t="s">
        <v>7982</v>
      </c>
      <c r="B3579" s="3" t="s">
        <v>7983</v>
      </c>
    </row>
    <row r="3580" spans="1:2">
      <c r="A3580" s="3" t="s">
        <v>7984</v>
      </c>
      <c r="B3580" s="3" t="s">
        <v>7985</v>
      </c>
    </row>
    <row r="3581" spans="1:2">
      <c r="A3581" s="3" t="s">
        <v>7986</v>
      </c>
      <c r="B3581" s="3" t="s">
        <v>7987</v>
      </c>
    </row>
    <row r="3582" spans="1:2">
      <c r="A3582" s="3" t="s">
        <v>7988</v>
      </c>
      <c r="B3582" s="3" t="s">
        <v>7989</v>
      </c>
    </row>
    <row r="3583" spans="1:2">
      <c r="A3583" s="3" t="s">
        <v>7990</v>
      </c>
      <c r="B3583" s="3" t="s">
        <v>7991</v>
      </c>
    </row>
    <row r="3584" spans="1:2">
      <c r="A3584" s="3" t="s">
        <v>7992</v>
      </c>
      <c r="B3584" s="3" t="s">
        <v>7993</v>
      </c>
    </row>
    <row r="3585" spans="1:2">
      <c r="A3585" s="3" t="s">
        <v>7994</v>
      </c>
      <c r="B3585" s="3" t="s">
        <v>7995</v>
      </c>
    </row>
    <row r="3586" spans="1:2">
      <c r="A3586" s="3" t="s">
        <v>7996</v>
      </c>
      <c r="B3586" s="3" t="s">
        <v>7997</v>
      </c>
    </row>
    <row r="3587" spans="1:2">
      <c r="A3587" s="3" t="s">
        <v>7998</v>
      </c>
      <c r="B3587" s="3" t="s">
        <v>7999</v>
      </c>
    </row>
    <row r="3588" spans="1:2">
      <c r="A3588" s="3" t="s">
        <v>8000</v>
      </c>
      <c r="B3588" s="3" t="s">
        <v>8001</v>
      </c>
    </row>
    <row r="3589" spans="1:2">
      <c r="A3589" s="3" t="s">
        <v>8002</v>
      </c>
      <c r="B3589" s="3" t="s">
        <v>8003</v>
      </c>
    </row>
    <row r="3590" spans="1:2">
      <c r="A3590" s="3" t="s">
        <v>8004</v>
      </c>
      <c r="B3590" s="3" t="s">
        <v>8005</v>
      </c>
    </row>
    <row r="3591" spans="1:2">
      <c r="A3591" s="3" t="s">
        <v>8006</v>
      </c>
      <c r="B3591" s="3" t="s">
        <v>8007</v>
      </c>
    </row>
    <row r="3592" spans="1:2">
      <c r="A3592" s="3" t="s">
        <v>8008</v>
      </c>
      <c r="B3592" s="3" t="s">
        <v>8009</v>
      </c>
    </row>
    <row r="3593" spans="1:2">
      <c r="A3593" s="3" t="s">
        <v>8010</v>
      </c>
      <c r="B3593" s="3" t="s">
        <v>8011</v>
      </c>
    </row>
    <row r="3594" spans="1:2">
      <c r="A3594" s="3" t="s">
        <v>8012</v>
      </c>
      <c r="B3594" s="3" t="s">
        <v>8013</v>
      </c>
    </row>
    <row r="3595" spans="1:2">
      <c r="A3595" s="3" t="s">
        <v>8014</v>
      </c>
      <c r="B3595" s="3" t="s">
        <v>8015</v>
      </c>
    </row>
    <row r="3596" spans="1:2">
      <c r="A3596" s="3" t="s">
        <v>8016</v>
      </c>
      <c r="B3596" s="3" t="s">
        <v>8017</v>
      </c>
    </row>
    <row r="3597" spans="1:2">
      <c r="A3597" s="3" t="s">
        <v>8018</v>
      </c>
      <c r="B3597" s="3" t="s">
        <v>8019</v>
      </c>
    </row>
    <row r="3598" spans="1:2">
      <c r="A3598" s="3" t="s">
        <v>8020</v>
      </c>
      <c r="B3598" s="3" t="s">
        <v>8021</v>
      </c>
    </row>
    <row r="3599" spans="1:2">
      <c r="A3599" s="3" t="s">
        <v>8022</v>
      </c>
      <c r="B3599" s="3" t="s">
        <v>8023</v>
      </c>
    </row>
    <row r="3600" spans="1:2">
      <c r="A3600" s="3" t="s">
        <v>8024</v>
      </c>
      <c r="B3600" s="3" t="s">
        <v>8025</v>
      </c>
    </row>
    <row r="3601" spans="1:2">
      <c r="A3601" s="3" t="s">
        <v>8026</v>
      </c>
      <c r="B3601" s="3" t="s">
        <v>8027</v>
      </c>
    </row>
    <row r="3602" spans="1:2">
      <c r="A3602" s="3" t="s">
        <v>8028</v>
      </c>
      <c r="B3602" s="3" t="s">
        <v>8029</v>
      </c>
    </row>
    <row r="3603" spans="1:2">
      <c r="A3603" s="3" t="s">
        <v>8030</v>
      </c>
      <c r="B3603" s="3" t="s">
        <v>8031</v>
      </c>
    </row>
    <row r="3604" spans="1:2">
      <c r="A3604" s="3" t="s">
        <v>8032</v>
      </c>
      <c r="B3604" s="3" t="s">
        <v>8033</v>
      </c>
    </row>
    <row r="3605" spans="1:2">
      <c r="A3605" s="3" t="s">
        <v>8034</v>
      </c>
      <c r="B3605" s="3" t="s">
        <v>8035</v>
      </c>
    </row>
    <row r="3606" spans="1:2">
      <c r="A3606" s="3" t="s">
        <v>8036</v>
      </c>
      <c r="B3606" s="3" t="s">
        <v>8037</v>
      </c>
    </row>
    <row r="3607" spans="1:2">
      <c r="A3607" s="3" t="s">
        <v>8038</v>
      </c>
      <c r="B3607" s="3" t="s">
        <v>8039</v>
      </c>
    </row>
    <row r="3608" spans="1:2">
      <c r="A3608" s="3" t="s">
        <v>8040</v>
      </c>
      <c r="B3608" s="3" t="s">
        <v>8041</v>
      </c>
    </row>
    <row r="3609" spans="1:2">
      <c r="A3609" s="3" t="s">
        <v>8042</v>
      </c>
      <c r="B3609" s="3" t="s">
        <v>8043</v>
      </c>
    </row>
    <row r="3610" spans="1:2">
      <c r="A3610" s="3" t="s">
        <v>8044</v>
      </c>
      <c r="B3610" s="3" t="s">
        <v>8045</v>
      </c>
    </row>
    <row r="3611" spans="1:2">
      <c r="A3611" s="3" t="s">
        <v>8046</v>
      </c>
      <c r="B3611" s="3" t="s">
        <v>8047</v>
      </c>
    </row>
    <row r="3612" spans="1:2">
      <c r="A3612" s="3" t="s">
        <v>8048</v>
      </c>
      <c r="B3612" s="3" t="s">
        <v>8049</v>
      </c>
    </row>
    <row r="3613" spans="1:2">
      <c r="A3613" s="3" t="s">
        <v>8050</v>
      </c>
      <c r="B3613" s="3" t="s">
        <v>8051</v>
      </c>
    </row>
    <row r="3614" spans="1:2">
      <c r="A3614" s="3" t="s">
        <v>8052</v>
      </c>
      <c r="B3614" s="3" t="s">
        <v>8053</v>
      </c>
    </row>
    <row r="3615" spans="1:2">
      <c r="A3615" s="3" t="s">
        <v>8054</v>
      </c>
      <c r="B3615" s="3" t="s">
        <v>8055</v>
      </c>
    </row>
    <row r="3616" spans="1:2">
      <c r="A3616" s="3" t="s">
        <v>8056</v>
      </c>
      <c r="B3616" s="3" t="s">
        <v>8057</v>
      </c>
    </row>
    <row r="3617" spans="1:2">
      <c r="A3617" s="3" t="s">
        <v>8058</v>
      </c>
      <c r="B3617" s="3" t="s">
        <v>8059</v>
      </c>
    </row>
    <row r="3618" spans="1:2">
      <c r="A3618" s="3" t="s">
        <v>8060</v>
      </c>
      <c r="B3618" s="3" t="s">
        <v>8061</v>
      </c>
    </row>
    <row r="3619" spans="1:2">
      <c r="A3619" s="3" t="s">
        <v>8062</v>
      </c>
      <c r="B3619" s="3" t="s">
        <v>8063</v>
      </c>
    </row>
    <row r="3620" spans="1:2">
      <c r="A3620" s="3" t="s">
        <v>8064</v>
      </c>
      <c r="B3620" s="3" t="s">
        <v>8065</v>
      </c>
    </row>
    <row r="3621" spans="1:2">
      <c r="A3621" s="3" t="s">
        <v>8066</v>
      </c>
      <c r="B3621" s="3" t="s">
        <v>8067</v>
      </c>
    </row>
    <row r="3622" spans="1:2">
      <c r="A3622" s="3" t="s">
        <v>8068</v>
      </c>
      <c r="B3622" s="3" t="s">
        <v>8069</v>
      </c>
    </row>
    <row r="3623" spans="1:2">
      <c r="A3623" s="3" t="s">
        <v>8070</v>
      </c>
      <c r="B3623" s="3" t="s">
        <v>8071</v>
      </c>
    </row>
    <row r="3624" spans="1:2">
      <c r="A3624" s="3" t="s">
        <v>8072</v>
      </c>
      <c r="B3624" s="3" t="s">
        <v>8073</v>
      </c>
    </row>
    <row r="3625" spans="1:2">
      <c r="A3625" s="3" t="s">
        <v>8074</v>
      </c>
      <c r="B3625" s="3" t="s">
        <v>8075</v>
      </c>
    </row>
    <row r="3626" spans="1:2">
      <c r="A3626" s="3" t="s">
        <v>8076</v>
      </c>
      <c r="B3626" s="3" t="s">
        <v>8077</v>
      </c>
    </row>
    <row r="3627" spans="1:2">
      <c r="A3627" s="3" t="s">
        <v>8078</v>
      </c>
      <c r="B3627" s="3" t="s">
        <v>8079</v>
      </c>
    </row>
    <row r="3628" spans="1:2">
      <c r="A3628" s="3" t="s">
        <v>8080</v>
      </c>
      <c r="B3628" s="3" t="s">
        <v>8081</v>
      </c>
    </row>
    <row r="3629" spans="1:2">
      <c r="A3629" s="3" t="s">
        <v>8082</v>
      </c>
      <c r="B3629" s="3" t="s">
        <v>8083</v>
      </c>
    </row>
    <row r="3630" spans="1:2">
      <c r="A3630" s="3" t="s">
        <v>8084</v>
      </c>
      <c r="B3630" s="3" t="s">
        <v>8085</v>
      </c>
    </row>
    <row r="3631" spans="1:2">
      <c r="A3631" s="3" t="s">
        <v>8086</v>
      </c>
      <c r="B3631" s="3" t="s">
        <v>8087</v>
      </c>
    </row>
    <row r="3632" spans="1:2">
      <c r="A3632" s="3" t="s">
        <v>8088</v>
      </c>
      <c r="B3632" s="3" t="s">
        <v>8089</v>
      </c>
    </row>
    <row r="3633" spans="1:2">
      <c r="A3633" s="3" t="s">
        <v>8090</v>
      </c>
      <c r="B3633" s="3" t="s">
        <v>8091</v>
      </c>
    </row>
    <row r="3634" spans="1:2">
      <c r="A3634" s="3" t="s">
        <v>8092</v>
      </c>
      <c r="B3634" s="3" t="s">
        <v>8093</v>
      </c>
    </row>
    <row r="3635" spans="1:2">
      <c r="A3635" s="3" t="s">
        <v>8094</v>
      </c>
      <c r="B3635" s="3" t="s">
        <v>8095</v>
      </c>
    </row>
    <row r="3636" spans="1:2">
      <c r="A3636" s="3" t="s">
        <v>8096</v>
      </c>
      <c r="B3636" s="3" t="s">
        <v>8097</v>
      </c>
    </row>
    <row r="3637" spans="1:2">
      <c r="A3637" s="3" t="s">
        <v>8098</v>
      </c>
      <c r="B3637" s="3" t="s">
        <v>8099</v>
      </c>
    </row>
    <row r="3638" spans="1:2">
      <c r="A3638" s="3" t="s">
        <v>8100</v>
      </c>
      <c r="B3638" s="3" t="s">
        <v>8101</v>
      </c>
    </row>
    <row r="3639" spans="1:2">
      <c r="A3639" s="3" t="s">
        <v>8102</v>
      </c>
      <c r="B3639" s="3" t="s">
        <v>8103</v>
      </c>
    </row>
    <row r="3640" spans="1:2">
      <c r="A3640" s="3" t="s">
        <v>8104</v>
      </c>
      <c r="B3640" s="3" t="s">
        <v>8105</v>
      </c>
    </row>
    <row r="3641" spans="1:2">
      <c r="A3641" s="3" t="s">
        <v>8106</v>
      </c>
      <c r="B3641" s="3" t="s">
        <v>8107</v>
      </c>
    </row>
    <row r="3642" spans="1:2">
      <c r="A3642" s="3" t="s">
        <v>8108</v>
      </c>
      <c r="B3642" s="3" t="s">
        <v>8109</v>
      </c>
    </row>
    <row r="3643" spans="1:2">
      <c r="A3643" s="3" t="s">
        <v>8110</v>
      </c>
      <c r="B3643" s="3" t="s">
        <v>8111</v>
      </c>
    </row>
    <row r="3644" spans="1:2">
      <c r="A3644" s="3" t="s">
        <v>8112</v>
      </c>
      <c r="B3644" s="3" t="s">
        <v>8113</v>
      </c>
    </row>
    <row r="3645" spans="1:2">
      <c r="A3645" s="3" t="s">
        <v>8114</v>
      </c>
      <c r="B3645" s="3" t="s">
        <v>8115</v>
      </c>
    </row>
    <row r="3646" spans="1:2">
      <c r="A3646" s="3" t="s">
        <v>8116</v>
      </c>
      <c r="B3646" s="3" t="s">
        <v>8117</v>
      </c>
    </row>
    <row r="3647" spans="1:2">
      <c r="A3647" s="3" t="s">
        <v>8118</v>
      </c>
      <c r="B3647" s="3" t="s">
        <v>8119</v>
      </c>
    </row>
    <row r="3648" spans="1:2">
      <c r="A3648" s="3" t="s">
        <v>8120</v>
      </c>
      <c r="B3648" s="3" t="s">
        <v>8121</v>
      </c>
    </row>
    <row r="3649" spans="1:2">
      <c r="A3649" s="3" t="s">
        <v>8122</v>
      </c>
      <c r="B3649" s="3" t="s">
        <v>8123</v>
      </c>
    </row>
    <row r="3650" spans="1:2">
      <c r="A3650" s="3" t="s">
        <v>8124</v>
      </c>
      <c r="B3650" s="3" t="s">
        <v>8125</v>
      </c>
    </row>
    <row r="3651" spans="1:2">
      <c r="A3651" s="3" t="s">
        <v>8126</v>
      </c>
      <c r="B3651" s="3" t="s">
        <v>8127</v>
      </c>
    </row>
    <row r="3652" spans="1:2">
      <c r="A3652" s="3" t="s">
        <v>8128</v>
      </c>
      <c r="B3652" s="3" t="s">
        <v>8129</v>
      </c>
    </row>
    <row r="3653" spans="1:2">
      <c r="A3653" s="3" t="s">
        <v>8130</v>
      </c>
      <c r="B3653" s="3" t="s">
        <v>8131</v>
      </c>
    </row>
    <row r="3654" spans="1:2">
      <c r="A3654" s="3" t="s">
        <v>8132</v>
      </c>
      <c r="B3654" s="3" t="s">
        <v>8133</v>
      </c>
    </row>
    <row r="3655" spans="1:2">
      <c r="A3655" s="3" t="s">
        <v>8134</v>
      </c>
      <c r="B3655" s="3" t="s">
        <v>8135</v>
      </c>
    </row>
    <row r="3656" spans="1:2">
      <c r="A3656" s="3" t="s">
        <v>8136</v>
      </c>
      <c r="B3656" s="3" t="s">
        <v>8137</v>
      </c>
    </row>
    <row r="3657" spans="1:2">
      <c r="A3657" s="3" t="s">
        <v>8138</v>
      </c>
      <c r="B3657" s="3" t="s">
        <v>8139</v>
      </c>
    </row>
    <row r="3658" spans="1:2">
      <c r="A3658" s="3" t="s">
        <v>8140</v>
      </c>
      <c r="B3658" s="3" t="s">
        <v>8141</v>
      </c>
    </row>
    <row r="3659" spans="1:2">
      <c r="A3659" s="3" t="s">
        <v>8142</v>
      </c>
      <c r="B3659" s="3" t="s">
        <v>8143</v>
      </c>
    </row>
    <row r="3660" spans="1:2">
      <c r="A3660" s="3" t="s">
        <v>8144</v>
      </c>
      <c r="B3660" s="3" t="s">
        <v>8145</v>
      </c>
    </row>
    <row r="3661" spans="1:2">
      <c r="A3661" s="3" t="s">
        <v>8146</v>
      </c>
      <c r="B3661" s="3" t="s">
        <v>8147</v>
      </c>
    </row>
    <row r="3662" spans="1:2">
      <c r="A3662" s="3" t="s">
        <v>8148</v>
      </c>
      <c r="B3662" s="3" t="s">
        <v>8147</v>
      </c>
    </row>
    <row r="3663" spans="1:2">
      <c r="A3663" s="3" t="s">
        <v>8149</v>
      </c>
      <c r="B3663" s="3" t="s">
        <v>8150</v>
      </c>
    </row>
    <row r="3664" spans="1:2">
      <c r="A3664" s="3" t="s">
        <v>8151</v>
      </c>
      <c r="B3664" s="3" t="s">
        <v>8152</v>
      </c>
    </row>
    <row r="3665" spans="1:2">
      <c r="A3665" s="3" t="s">
        <v>8153</v>
      </c>
      <c r="B3665" s="3" t="s">
        <v>8154</v>
      </c>
    </row>
    <row r="3666" spans="1:2">
      <c r="A3666" s="3" t="s">
        <v>8155</v>
      </c>
      <c r="B3666" s="3" t="s">
        <v>8156</v>
      </c>
    </row>
    <row r="3667" spans="1:2">
      <c r="A3667" s="3" t="s">
        <v>8157</v>
      </c>
      <c r="B3667" s="3" t="s">
        <v>8158</v>
      </c>
    </row>
    <row r="3668" spans="1:2">
      <c r="A3668" s="3" t="s">
        <v>8159</v>
      </c>
      <c r="B3668" s="3" t="s">
        <v>8160</v>
      </c>
    </row>
    <row r="3669" spans="1:2">
      <c r="A3669" s="3" t="s">
        <v>8161</v>
      </c>
      <c r="B3669" s="3" t="s">
        <v>8162</v>
      </c>
    </row>
    <row r="3670" spans="1:2">
      <c r="A3670" s="3" t="s">
        <v>8163</v>
      </c>
      <c r="B3670" s="3" t="s">
        <v>8164</v>
      </c>
    </row>
    <row r="3671" spans="1:2">
      <c r="A3671" s="3" t="s">
        <v>8165</v>
      </c>
      <c r="B3671" s="3" t="s">
        <v>8166</v>
      </c>
    </row>
    <row r="3672" spans="1:2">
      <c r="A3672" s="3" t="s">
        <v>8167</v>
      </c>
      <c r="B3672" s="3" t="s">
        <v>8168</v>
      </c>
    </row>
    <row r="3673" spans="1:2">
      <c r="A3673" s="3" t="s">
        <v>8169</v>
      </c>
      <c r="B3673" s="3" t="s">
        <v>8170</v>
      </c>
    </row>
    <row r="3674" spans="1:2">
      <c r="A3674" s="3" t="s">
        <v>8171</v>
      </c>
      <c r="B3674" s="3" t="s">
        <v>8172</v>
      </c>
    </row>
    <row r="3675" spans="1:2">
      <c r="A3675" s="3" t="s">
        <v>8173</v>
      </c>
      <c r="B3675" s="3" t="s">
        <v>8174</v>
      </c>
    </row>
    <row r="3676" spans="1:2">
      <c r="A3676" s="3" t="s">
        <v>8175</v>
      </c>
      <c r="B3676" s="3" t="s">
        <v>8176</v>
      </c>
    </row>
    <row r="3677" spans="1:2">
      <c r="A3677" s="3" t="s">
        <v>8177</v>
      </c>
      <c r="B3677" s="3" t="s">
        <v>8178</v>
      </c>
    </row>
    <row r="3678" spans="1:2">
      <c r="A3678" s="3" t="s">
        <v>8179</v>
      </c>
      <c r="B3678" s="3" t="s">
        <v>8180</v>
      </c>
    </row>
    <row r="3679" spans="1:2">
      <c r="A3679" s="3" t="s">
        <v>8181</v>
      </c>
      <c r="B3679" s="3" t="s">
        <v>8182</v>
      </c>
    </row>
    <row r="3680" spans="1:2">
      <c r="A3680" s="3" t="s">
        <v>8183</v>
      </c>
      <c r="B3680" s="3" t="s">
        <v>8184</v>
      </c>
    </row>
    <row r="3681" spans="1:2">
      <c r="A3681" s="3" t="s">
        <v>8185</v>
      </c>
      <c r="B3681" s="3" t="s">
        <v>8186</v>
      </c>
    </row>
    <row r="3682" spans="1:2">
      <c r="A3682" s="3" t="s">
        <v>8187</v>
      </c>
      <c r="B3682" s="3" t="s">
        <v>8188</v>
      </c>
    </row>
    <row r="3683" spans="1:2">
      <c r="A3683" s="3" t="s">
        <v>8189</v>
      </c>
      <c r="B3683" s="3" t="s">
        <v>8190</v>
      </c>
    </row>
    <row r="3684" spans="1:2">
      <c r="A3684" s="3" t="s">
        <v>8191</v>
      </c>
      <c r="B3684" s="3" t="s">
        <v>8192</v>
      </c>
    </row>
    <row r="3685" spans="1:2">
      <c r="A3685" s="3" t="s">
        <v>8193</v>
      </c>
      <c r="B3685" s="3" t="s">
        <v>8194</v>
      </c>
    </row>
    <row r="3686" spans="1:2">
      <c r="A3686" s="3" t="s">
        <v>8195</v>
      </c>
      <c r="B3686" s="3" t="s">
        <v>4321</v>
      </c>
    </row>
    <row r="3687" spans="1:2">
      <c r="A3687" s="3" t="s">
        <v>8196</v>
      </c>
      <c r="B3687" s="3" t="s">
        <v>4748</v>
      </c>
    </row>
    <row r="3688" spans="1:2">
      <c r="A3688" s="3" t="s">
        <v>8197</v>
      </c>
      <c r="B3688" s="3" t="s">
        <v>8198</v>
      </c>
    </row>
    <row r="3689" spans="1:2">
      <c r="A3689" s="3" t="s">
        <v>8199</v>
      </c>
      <c r="B3689" s="3" t="s">
        <v>8200</v>
      </c>
    </row>
    <row r="3690" spans="1:2">
      <c r="A3690" s="3" t="s">
        <v>8201</v>
      </c>
      <c r="B3690" s="3" t="s">
        <v>8202</v>
      </c>
    </row>
    <row r="3691" spans="1:2">
      <c r="A3691" s="3" t="s">
        <v>8203</v>
      </c>
      <c r="B3691" s="3" t="s">
        <v>8204</v>
      </c>
    </row>
    <row r="3692" spans="1:2">
      <c r="A3692" s="3" t="s">
        <v>8205</v>
      </c>
      <c r="B3692" s="3" t="s">
        <v>8206</v>
      </c>
    </row>
    <row r="3693" spans="1:2">
      <c r="A3693" s="3" t="s">
        <v>8207</v>
      </c>
      <c r="B3693" s="3" t="s">
        <v>8208</v>
      </c>
    </row>
    <row r="3694" spans="1:2">
      <c r="A3694" s="3" t="s">
        <v>8209</v>
      </c>
      <c r="B3694" s="3" t="s">
        <v>8210</v>
      </c>
    </row>
    <row r="3695" spans="1:2">
      <c r="A3695" s="3" t="s">
        <v>8211</v>
      </c>
      <c r="B3695" s="3" t="s">
        <v>8212</v>
      </c>
    </row>
    <row r="3696" spans="1:2">
      <c r="A3696" s="3" t="s">
        <v>8213</v>
      </c>
      <c r="B3696" s="3" t="s">
        <v>8214</v>
      </c>
    </row>
    <row r="3697" spans="1:2">
      <c r="A3697" s="3" t="s">
        <v>8215</v>
      </c>
      <c r="B3697" s="3" t="s">
        <v>8216</v>
      </c>
    </row>
    <row r="3698" spans="1:2">
      <c r="A3698" s="3" t="s">
        <v>8217</v>
      </c>
      <c r="B3698" s="3" t="s">
        <v>8218</v>
      </c>
    </row>
    <row r="3699" spans="1:2">
      <c r="A3699" s="3" t="s">
        <v>8219</v>
      </c>
      <c r="B3699" s="3" t="s">
        <v>8220</v>
      </c>
    </row>
    <row r="3700" spans="1:2">
      <c r="A3700" s="3" t="s">
        <v>8221</v>
      </c>
      <c r="B3700" s="3" t="s">
        <v>8222</v>
      </c>
    </row>
    <row r="3701" spans="1:2">
      <c r="A3701" s="3" t="s">
        <v>8223</v>
      </c>
      <c r="B3701" s="3" t="s">
        <v>8224</v>
      </c>
    </row>
    <row r="3702" spans="1:2">
      <c r="A3702" s="3" t="s">
        <v>8225</v>
      </c>
      <c r="B3702" s="3" t="s">
        <v>8226</v>
      </c>
    </row>
    <row r="3703" spans="1:2">
      <c r="A3703" s="3" t="s">
        <v>8227</v>
      </c>
      <c r="B3703" s="3" t="s">
        <v>8228</v>
      </c>
    </row>
    <row r="3704" spans="1:2">
      <c r="A3704" s="3" t="s">
        <v>8229</v>
      </c>
      <c r="B3704" s="3" t="s">
        <v>8230</v>
      </c>
    </row>
    <row r="3705" spans="1:2">
      <c r="A3705" s="3" t="s">
        <v>8231</v>
      </c>
      <c r="B3705" s="3" t="s">
        <v>8232</v>
      </c>
    </row>
    <row r="3706" spans="1:2">
      <c r="A3706" s="3" t="s">
        <v>8233</v>
      </c>
      <c r="B3706" s="3" t="s">
        <v>8234</v>
      </c>
    </row>
    <row r="3707" spans="1:2">
      <c r="A3707" s="3" t="s">
        <v>8235</v>
      </c>
      <c r="B3707" s="3" t="s">
        <v>4748</v>
      </c>
    </row>
    <row r="3708" spans="1:2">
      <c r="A3708" s="3" t="s">
        <v>8236</v>
      </c>
      <c r="B3708" s="3" t="s">
        <v>8237</v>
      </c>
    </row>
    <row r="3709" spans="1:2">
      <c r="A3709" s="3" t="s">
        <v>8238</v>
      </c>
      <c r="B3709" s="3" t="s">
        <v>8239</v>
      </c>
    </row>
    <row r="3710" spans="1:2">
      <c r="A3710" s="3" t="s">
        <v>8240</v>
      </c>
      <c r="B3710" s="3" t="s">
        <v>8241</v>
      </c>
    </row>
    <row r="3711" spans="1:2">
      <c r="A3711" s="3" t="s">
        <v>8242</v>
      </c>
      <c r="B3711" s="3" t="s">
        <v>8243</v>
      </c>
    </row>
    <row r="3712" spans="1:2">
      <c r="A3712" s="3" t="s">
        <v>8244</v>
      </c>
      <c r="B3712" s="3" t="s">
        <v>8245</v>
      </c>
    </row>
    <row r="3713" spans="1:2">
      <c r="A3713" s="3" t="s">
        <v>8246</v>
      </c>
      <c r="B3713" s="3" t="s">
        <v>8247</v>
      </c>
    </row>
    <row r="3714" spans="1:2">
      <c r="A3714" s="3" t="s">
        <v>8248</v>
      </c>
      <c r="B3714" s="3" t="s">
        <v>8249</v>
      </c>
    </row>
    <row r="3715" spans="1:2">
      <c r="A3715" s="3" t="s">
        <v>8250</v>
      </c>
      <c r="B3715" s="3" t="s">
        <v>8251</v>
      </c>
    </row>
    <row r="3716" spans="1:2">
      <c r="A3716" s="3" t="s">
        <v>8252</v>
      </c>
      <c r="B3716" s="3" t="s">
        <v>8253</v>
      </c>
    </row>
    <row r="3717" spans="1:2">
      <c r="A3717" s="3" t="s">
        <v>8254</v>
      </c>
      <c r="B3717" s="3" t="s">
        <v>8255</v>
      </c>
    </row>
    <row r="3718" spans="1:2">
      <c r="A3718" s="3" t="s">
        <v>8256</v>
      </c>
      <c r="B3718" s="3" t="s">
        <v>8257</v>
      </c>
    </row>
    <row r="3719" spans="1:2">
      <c r="A3719" s="3" t="s">
        <v>8258</v>
      </c>
      <c r="B3719" s="3" t="s">
        <v>8259</v>
      </c>
    </row>
    <row r="3720" spans="1:2">
      <c r="A3720" s="3" t="s">
        <v>8260</v>
      </c>
      <c r="B3720" s="3" t="s">
        <v>8261</v>
      </c>
    </row>
    <row r="3721" spans="1:2">
      <c r="A3721" s="3" t="s">
        <v>8262</v>
      </c>
      <c r="B3721" s="3" t="s">
        <v>8263</v>
      </c>
    </row>
    <row r="3722" spans="1:2">
      <c r="A3722" s="3" t="s">
        <v>8264</v>
      </c>
      <c r="B3722" s="3" t="s">
        <v>8265</v>
      </c>
    </row>
    <row r="3723" spans="1:2">
      <c r="A3723" s="3" t="s">
        <v>8266</v>
      </c>
      <c r="B3723" s="3" t="s">
        <v>8267</v>
      </c>
    </row>
    <row r="3724" spans="1:2">
      <c r="A3724" s="3" t="s">
        <v>8268</v>
      </c>
      <c r="B3724" s="3" t="s">
        <v>8269</v>
      </c>
    </row>
    <row r="3725" spans="1:2">
      <c r="A3725" s="3" t="s">
        <v>8270</v>
      </c>
      <c r="B3725" s="3" t="s">
        <v>8271</v>
      </c>
    </row>
    <row r="3726" spans="1:2">
      <c r="A3726" s="3" t="s">
        <v>8272</v>
      </c>
      <c r="B3726" s="3" t="s">
        <v>8273</v>
      </c>
    </row>
    <row r="3727" spans="1:2">
      <c r="A3727" s="3" t="s">
        <v>8274</v>
      </c>
      <c r="B3727" s="3" t="s">
        <v>8275</v>
      </c>
    </row>
    <row r="3728" spans="1:2">
      <c r="A3728" s="3" t="s">
        <v>8276</v>
      </c>
      <c r="B3728" s="3" t="s">
        <v>8277</v>
      </c>
    </row>
    <row r="3729" spans="1:2">
      <c r="A3729" s="3" t="s">
        <v>8278</v>
      </c>
      <c r="B3729" s="3" t="s">
        <v>8279</v>
      </c>
    </row>
    <row r="3730" spans="1:2">
      <c r="A3730" s="3" t="s">
        <v>8280</v>
      </c>
      <c r="B3730" s="3" t="s">
        <v>8281</v>
      </c>
    </row>
    <row r="3731" spans="1:2">
      <c r="A3731" s="3" t="s">
        <v>8282</v>
      </c>
      <c r="B3731" s="3" t="s">
        <v>8283</v>
      </c>
    </row>
    <row r="3732" spans="1:2">
      <c r="A3732" s="3" t="s">
        <v>8284</v>
      </c>
      <c r="B3732" s="3" t="s">
        <v>8285</v>
      </c>
    </row>
    <row r="3733" spans="1:2">
      <c r="A3733" s="3" t="s">
        <v>8286</v>
      </c>
      <c r="B3733" s="3" t="s">
        <v>8287</v>
      </c>
    </row>
    <row r="3734" spans="1:2">
      <c r="A3734" s="3" t="s">
        <v>8288</v>
      </c>
      <c r="B3734" s="3" t="s">
        <v>8289</v>
      </c>
    </row>
    <row r="3735" spans="1:2">
      <c r="A3735" s="3" t="s">
        <v>8290</v>
      </c>
      <c r="B3735" s="3" t="s">
        <v>8291</v>
      </c>
    </row>
    <row r="3736" spans="1:2">
      <c r="A3736" s="3" t="s">
        <v>8292</v>
      </c>
      <c r="B3736" s="3" t="s">
        <v>8293</v>
      </c>
    </row>
    <row r="3737" spans="1:2">
      <c r="A3737" s="3" t="s">
        <v>8294</v>
      </c>
      <c r="B3737" s="3" t="s">
        <v>8295</v>
      </c>
    </row>
    <row r="3738" spans="1:2">
      <c r="A3738" s="3" t="s">
        <v>8296</v>
      </c>
      <c r="B3738" s="3" t="s">
        <v>8297</v>
      </c>
    </row>
    <row r="3739" spans="1:2">
      <c r="A3739" s="3" t="s">
        <v>8298</v>
      </c>
      <c r="B3739" s="3" t="s">
        <v>8299</v>
      </c>
    </row>
    <row r="3740" spans="1:2">
      <c r="A3740" s="3" t="s">
        <v>8300</v>
      </c>
      <c r="B3740" s="3" t="s">
        <v>8301</v>
      </c>
    </row>
    <row r="3741" spans="1:2">
      <c r="A3741" s="3" t="s">
        <v>8302</v>
      </c>
      <c r="B3741" s="3" t="s">
        <v>8303</v>
      </c>
    </row>
    <row r="3742" spans="1:2">
      <c r="A3742" s="3" t="s">
        <v>8304</v>
      </c>
      <c r="B3742" s="3" t="s">
        <v>8305</v>
      </c>
    </row>
    <row r="3743" spans="1:2">
      <c r="A3743" s="3" t="s">
        <v>8306</v>
      </c>
      <c r="B3743" s="3" t="s">
        <v>8307</v>
      </c>
    </row>
    <row r="3744" spans="1:2">
      <c r="A3744" s="3" t="s">
        <v>8308</v>
      </c>
      <c r="B3744" s="3" t="s">
        <v>8309</v>
      </c>
    </row>
    <row r="3745" spans="1:2">
      <c r="A3745" s="3" t="s">
        <v>8310</v>
      </c>
      <c r="B3745" s="3" t="s">
        <v>8311</v>
      </c>
    </row>
    <row r="3746" spans="1:2">
      <c r="A3746" s="3" t="s">
        <v>8312</v>
      </c>
      <c r="B3746" s="3" t="s">
        <v>8313</v>
      </c>
    </row>
    <row r="3747" spans="1:2">
      <c r="A3747" s="3" t="s">
        <v>8314</v>
      </c>
      <c r="B3747" s="3" t="s">
        <v>8315</v>
      </c>
    </row>
    <row r="3748" spans="1:2">
      <c r="A3748" s="3" t="s">
        <v>8316</v>
      </c>
      <c r="B3748" s="3" t="s">
        <v>8317</v>
      </c>
    </row>
    <row r="3749" spans="1:2">
      <c r="A3749" s="3" t="s">
        <v>8318</v>
      </c>
      <c r="B3749" s="3" t="s">
        <v>8319</v>
      </c>
    </row>
    <row r="3750" spans="1:2">
      <c r="A3750" s="3" t="s">
        <v>8320</v>
      </c>
      <c r="B3750" s="3" t="s">
        <v>8321</v>
      </c>
    </row>
    <row r="3751" spans="1:2">
      <c r="A3751" s="3" t="s">
        <v>8322</v>
      </c>
      <c r="B3751" s="3" t="s">
        <v>8323</v>
      </c>
    </row>
    <row r="3752" spans="1:2">
      <c r="A3752" s="3" t="s">
        <v>8324</v>
      </c>
      <c r="B3752" s="3" t="s">
        <v>8325</v>
      </c>
    </row>
    <row r="3753" spans="1:2">
      <c r="A3753" s="3" t="s">
        <v>8326</v>
      </c>
      <c r="B3753" s="3" t="s">
        <v>8327</v>
      </c>
    </row>
    <row r="3754" spans="1:2">
      <c r="A3754" s="3" t="s">
        <v>8328</v>
      </c>
      <c r="B3754" s="3" t="s">
        <v>8329</v>
      </c>
    </row>
    <row r="3755" spans="1:2">
      <c r="A3755" s="3" t="s">
        <v>8330</v>
      </c>
      <c r="B3755" s="3" t="s">
        <v>8331</v>
      </c>
    </row>
    <row r="3756" spans="1:2">
      <c r="A3756" s="3" t="s">
        <v>8332</v>
      </c>
      <c r="B3756" s="3" t="s">
        <v>8333</v>
      </c>
    </row>
    <row r="3757" spans="1:2">
      <c r="A3757" s="3" t="s">
        <v>8334</v>
      </c>
      <c r="B3757" s="3" t="s">
        <v>8335</v>
      </c>
    </row>
    <row r="3758" spans="1:2">
      <c r="A3758" s="3" t="s">
        <v>8336</v>
      </c>
      <c r="B3758" s="3" t="s">
        <v>8337</v>
      </c>
    </row>
    <row r="3759" spans="1:2">
      <c r="A3759" s="3" t="s">
        <v>8338</v>
      </c>
      <c r="B3759" s="3" t="s">
        <v>8339</v>
      </c>
    </row>
    <row r="3760" spans="1:2">
      <c r="A3760" s="3" t="s">
        <v>8340</v>
      </c>
      <c r="B3760" s="3" t="s">
        <v>4321</v>
      </c>
    </row>
    <row r="3761" spans="1:2">
      <c r="A3761" s="3" t="s">
        <v>8341</v>
      </c>
      <c r="B3761" s="3" t="s">
        <v>4748</v>
      </c>
    </row>
    <row r="3762" spans="1:2">
      <c r="A3762" s="3" t="s">
        <v>8342</v>
      </c>
      <c r="B3762" s="3" t="s">
        <v>8343</v>
      </c>
    </row>
    <row r="3763" spans="1:2">
      <c r="A3763" s="3" t="s">
        <v>8344</v>
      </c>
      <c r="B3763" s="3" t="s">
        <v>8345</v>
      </c>
    </row>
    <row r="3764" spans="1:2">
      <c r="A3764" s="3" t="s">
        <v>8346</v>
      </c>
      <c r="B3764" s="3" t="s">
        <v>8347</v>
      </c>
    </row>
    <row r="3765" spans="1:2">
      <c r="A3765" s="3" t="s">
        <v>8348</v>
      </c>
      <c r="B3765" s="3" t="s">
        <v>8349</v>
      </c>
    </row>
    <row r="3766" spans="1:2">
      <c r="A3766" s="3" t="s">
        <v>8350</v>
      </c>
      <c r="B3766" s="3" t="s">
        <v>8351</v>
      </c>
    </row>
    <row r="3767" spans="1:2">
      <c r="A3767" s="3" t="s">
        <v>8352</v>
      </c>
      <c r="B3767" s="3" t="s">
        <v>8353</v>
      </c>
    </row>
    <row r="3768" spans="1:2">
      <c r="A3768" s="3" t="s">
        <v>8354</v>
      </c>
      <c r="B3768" s="3" t="s">
        <v>8355</v>
      </c>
    </row>
    <row r="3769" spans="1:2">
      <c r="A3769" s="3" t="s">
        <v>8356</v>
      </c>
      <c r="B3769" s="3" t="s">
        <v>8357</v>
      </c>
    </row>
    <row r="3770" spans="1:2">
      <c r="A3770" s="3" t="s">
        <v>8358</v>
      </c>
      <c r="B3770" s="3" t="s">
        <v>8359</v>
      </c>
    </row>
    <row r="3771" spans="1:2">
      <c r="A3771" s="3" t="s">
        <v>8360</v>
      </c>
      <c r="B3771" s="3" t="s">
        <v>8361</v>
      </c>
    </row>
    <row r="3772" spans="1:2">
      <c r="A3772" s="3" t="s">
        <v>8362</v>
      </c>
      <c r="B3772" s="3" t="s">
        <v>8363</v>
      </c>
    </row>
    <row r="3773" spans="1:2">
      <c r="A3773" s="3" t="s">
        <v>8364</v>
      </c>
      <c r="B3773" s="3" t="s">
        <v>8365</v>
      </c>
    </row>
    <row r="3774" spans="1:2">
      <c r="A3774" s="3" t="s">
        <v>8366</v>
      </c>
      <c r="B3774" s="3" t="s">
        <v>8367</v>
      </c>
    </row>
    <row r="3775" spans="1:2">
      <c r="A3775" s="3" t="s">
        <v>8368</v>
      </c>
      <c r="B3775" s="3" t="s">
        <v>8369</v>
      </c>
    </row>
    <row r="3776" spans="1:2">
      <c r="A3776" s="3" t="s">
        <v>8370</v>
      </c>
      <c r="B3776" s="3" t="s">
        <v>8371</v>
      </c>
    </row>
    <row r="3777" spans="1:2">
      <c r="A3777" s="3" t="s">
        <v>8372</v>
      </c>
      <c r="B3777" s="3" t="s">
        <v>8373</v>
      </c>
    </row>
    <row r="3778" spans="1:2">
      <c r="A3778" s="3" t="s">
        <v>8374</v>
      </c>
      <c r="B3778" s="3" t="s">
        <v>8375</v>
      </c>
    </row>
    <row r="3779" spans="1:2">
      <c r="A3779" s="3" t="s">
        <v>8376</v>
      </c>
      <c r="B3779" s="3" t="s">
        <v>8377</v>
      </c>
    </row>
    <row r="3780" spans="1:2">
      <c r="A3780" s="3" t="s">
        <v>8378</v>
      </c>
      <c r="B3780" s="3" t="s">
        <v>8379</v>
      </c>
    </row>
    <row r="3781" spans="1:2">
      <c r="A3781" s="3" t="s">
        <v>8380</v>
      </c>
      <c r="B3781" s="3" t="s">
        <v>8381</v>
      </c>
    </row>
    <row r="3782" spans="1:2">
      <c r="A3782" s="3" t="s">
        <v>8382</v>
      </c>
      <c r="B3782" s="3" t="s">
        <v>8383</v>
      </c>
    </row>
    <row r="3783" spans="1:2">
      <c r="A3783" s="3" t="s">
        <v>8384</v>
      </c>
      <c r="B3783" s="3" t="s">
        <v>8385</v>
      </c>
    </row>
    <row r="3784" spans="1:2">
      <c r="A3784" s="3" t="s">
        <v>8386</v>
      </c>
      <c r="B3784" s="3" t="s">
        <v>8387</v>
      </c>
    </row>
    <row r="3785" spans="1:2">
      <c r="A3785" s="3" t="s">
        <v>8388</v>
      </c>
      <c r="B3785" s="3" t="s">
        <v>8389</v>
      </c>
    </row>
    <row r="3786" spans="1:2">
      <c r="A3786" s="3" t="s">
        <v>8390</v>
      </c>
      <c r="B3786" s="3" t="s">
        <v>8391</v>
      </c>
    </row>
    <row r="3787" spans="1:2">
      <c r="A3787" s="3" t="s">
        <v>8392</v>
      </c>
      <c r="B3787" s="3" t="s">
        <v>8393</v>
      </c>
    </row>
    <row r="3788" spans="1:2">
      <c r="A3788" s="3" t="s">
        <v>8394</v>
      </c>
      <c r="B3788" s="3" t="s">
        <v>8395</v>
      </c>
    </row>
    <row r="3789" spans="1:2">
      <c r="A3789" s="3" t="s">
        <v>8396</v>
      </c>
      <c r="B3789" s="3" t="s">
        <v>8397</v>
      </c>
    </row>
    <row r="3790" spans="1:2">
      <c r="A3790" s="3" t="s">
        <v>8398</v>
      </c>
      <c r="B3790" s="3" t="s">
        <v>8399</v>
      </c>
    </row>
    <row r="3791" spans="1:2">
      <c r="A3791" s="3" t="s">
        <v>8400</v>
      </c>
      <c r="B3791" s="3" t="s">
        <v>8401</v>
      </c>
    </row>
    <row r="3792" spans="1:2">
      <c r="A3792" s="3" t="s">
        <v>8402</v>
      </c>
      <c r="B3792" s="3" t="s">
        <v>8403</v>
      </c>
    </row>
    <row r="3793" spans="1:2">
      <c r="A3793" s="3" t="s">
        <v>8404</v>
      </c>
      <c r="B3793" s="3" t="s">
        <v>8405</v>
      </c>
    </row>
    <row r="3794" spans="1:2">
      <c r="A3794" s="3" t="s">
        <v>8406</v>
      </c>
      <c r="B3794" s="3" t="s">
        <v>8407</v>
      </c>
    </row>
    <row r="3795" spans="1:2">
      <c r="A3795" s="3" t="s">
        <v>8408</v>
      </c>
      <c r="B3795" s="3" t="s">
        <v>8409</v>
      </c>
    </row>
    <row r="3796" spans="1:2">
      <c r="A3796" s="3" t="s">
        <v>8410</v>
      </c>
      <c r="B3796" s="3" t="s">
        <v>8411</v>
      </c>
    </row>
    <row r="3797" spans="1:2">
      <c r="A3797" s="3" t="s">
        <v>8412</v>
      </c>
      <c r="B3797" s="3" t="s">
        <v>8413</v>
      </c>
    </row>
    <row r="3798" spans="1:2">
      <c r="A3798" s="3" t="s">
        <v>8414</v>
      </c>
      <c r="B3798" s="3" t="s">
        <v>8415</v>
      </c>
    </row>
    <row r="3799" spans="1:2">
      <c r="A3799" s="3" t="s">
        <v>8416</v>
      </c>
      <c r="B3799" s="3" t="s">
        <v>8417</v>
      </c>
    </row>
    <row r="3800" spans="1:2">
      <c r="A3800" s="3" t="s">
        <v>8418</v>
      </c>
      <c r="B3800" s="3" t="s">
        <v>8419</v>
      </c>
    </row>
    <row r="3801" spans="1:2">
      <c r="A3801" s="3" t="s">
        <v>8420</v>
      </c>
      <c r="B3801" s="3" t="s">
        <v>8421</v>
      </c>
    </row>
    <row r="3802" spans="1:2">
      <c r="A3802" s="3" t="s">
        <v>8422</v>
      </c>
      <c r="B3802" s="3" t="s">
        <v>8423</v>
      </c>
    </row>
    <row r="3803" spans="1:2">
      <c r="A3803" s="3" t="s">
        <v>8424</v>
      </c>
      <c r="B3803" s="3" t="s">
        <v>8425</v>
      </c>
    </row>
    <row r="3804" spans="1:2">
      <c r="A3804" s="3" t="s">
        <v>8426</v>
      </c>
      <c r="B3804" s="3" t="s">
        <v>8427</v>
      </c>
    </row>
    <row r="3805" spans="1:2">
      <c r="A3805" s="3" t="s">
        <v>8428</v>
      </c>
      <c r="B3805" s="3" t="s">
        <v>8429</v>
      </c>
    </row>
    <row r="3806" spans="1:2">
      <c r="A3806" s="3" t="s">
        <v>8430</v>
      </c>
      <c r="B3806" s="3" t="s">
        <v>8431</v>
      </c>
    </row>
    <row r="3807" spans="1:2">
      <c r="A3807" s="3" t="s">
        <v>8432</v>
      </c>
      <c r="B3807" s="3" t="s">
        <v>8433</v>
      </c>
    </row>
    <row r="3808" spans="1:2">
      <c r="A3808" s="3" t="s">
        <v>8434</v>
      </c>
      <c r="B3808" s="3" t="s">
        <v>8435</v>
      </c>
    </row>
    <row r="3809" spans="1:2">
      <c r="A3809" s="3" t="s">
        <v>8436</v>
      </c>
      <c r="B3809" s="3" t="s">
        <v>8437</v>
      </c>
    </row>
    <row r="3810" spans="1:2">
      <c r="A3810" s="3" t="s">
        <v>8438</v>
      </c>
      <c r="B3810" s="3" t="s">
        <v>8439</v>
      </c>
    </row>
    <row r="3811" spans="1:2">
      <c r="A3811" s="3" t="s">
        <v>8440</v>
      </c>
      <c r="B3811" s="3" t="s">
        <v>8441</v>
      </c>
    </row>
    <row r="3812" spans="1:2">
      <c r="A3812" s="3" t="s">
        <v>8442</v>
      </c>
      <c r="B3812" s="3" t="s">
        <v>8443</v>
      </c>
    </row>
    <row r="3813" spans="1:2">
      <c r="A3813" s="3" t="s">
        <v>8444</v>
      </c>
      <c r="B3813" s="3" t="s">
        <v>6925</v>
      </c>
    </row>
    <row r="3814" spans="1:2">
      <c r="A3814" s="3" t="s">
        <v>8445</v>
      </c>
      <c r="B3814" s="3" t="s">
        <v>8446</v>
      </c>
    </row>
    <row r="3815" spans="1:2">
      <c r="A3815" s="3" t="s">
        <v>8447</v>
      </c>
      <c r="B3815" s="3" t="s">
        <v>8448</v>
      </c>
    </row>
    <row r="3816" spans="1:2">
      <c r="A3816" s="3" t="s">
        <v>8449</v>
      </c>
      <c r="B3816" s="3" t="s">
        <v>8450</v>
      </c>
    </row>
    <row r="3817" spans="1:2">
      <c r="A3817" s="3" t="s">
        <v>8451</v>
      </c>
      <c r="B3817" s="3" t="s">
        <v>8452</v>
      </c>
    </row>
    <row r="3818" spans="1:2">
      <c r="A3818" s="3" t="s">
        <v>8453</v>
      </c>
      <c r="B3818" s="3" t="s">
        <v>8454</v>
      </c>
    </row>
    <row r="3819" spans="1:2">
      <c r="A3819" s="3" t="s">
        <v>8455</v>
      </c>
      <c r="B3819" s="3" t="s">
        <v>8456</v>
      </c>
    </row>
    <row r="3820" spans="1:2">
      <c r="A3820" s="3" t="s">
        <v>8457</v>
      </c>
      <c r="B3820" s="3" t="s">
        <v>8458</v>
      </c>
    </row>
    <row r="3821" spans="1:2">
      <c r="A3821" s="3" t="s">
        <v>8459</v>
      </c>
      <c r="B3821" s="3" t="s">
        <v>8460</v>
      </c>
    </row>
    <row r="3822" spans="1:2">
      <c r="A3822" s="3" t="s">
        <v>8461</v>
      </c>
      <c r="B3822" s="3" t="s">
        <v>8462</v>
      </c>
    </row>
    <row r="3823" spans="1:2">
      <c r="A3823" s="3" t="s">
        <v>8463</v>
      </c>
      <c r="B3823" s="3" t="s">
        <v>8464</v>
      </c>
    </row>
    <row r="3824" spans="1:2">
      <c r="A3824" s="3" t="s">
        <v>8465</v>
      </c>
      <c r="B3824" s="3" t="s">
        <v>8466</v>
      </c>
    </row>
    <row r="3825" spans="1:2">
      <c r="A3825" s="3" t="s">
        <v>8467</v>
      </c>
      <c r="B3825" s="3" t="s">
        <v>8468</v>
      </c>
    </row>
    <row r="3826" spans="1:2">
      <c r="A3826" s="3" t="s">
        <v>8469</v>
      </c>
      <c r="B3826" s="3" t="s">
        <v>8470</v>
      </c>
    </row>
    <row r="3827" spans="1:2">
      <c r="A3827" s="3" t="s">
        <v>8471</v>
      </c>
      <c r="B3827" s="3" t="s">
        <v>8472</v>
      </c>
    </row>
    <row r="3828" spans="1:2">
      <c r="A3828" s="3" t="s">
        <v>8473</v>
      </c>
      <c r="B3828" s="3" t="s">
        <v>8474</v>
      </c>
    </row>
    <row r="3829" spans="1:2">
      <c r="A3829" s="3" t="s">
        <v>8475</v>
      </c>
      <c r="B3829" s="3" t="s">
        <v>8476</v>
      </c>
    </row>
    <row r="3830" spans="1:2">
      <c r="A3830" s="3" t="s">
        <v>8477</v>
      </c>
      <c r="B3830" s="3" t="s">
        <v>8478</v>
      </c>
    </row>
    <row r="3831" spans="1:2">
      <c r="A3831" s="3" t="s">
        <v>8479</v>
      </c>
      <c r="B3831" s="3" t="s">
        <v>8480</v>
      </c>
    </row>
    <row r="3832" spans="1:2">
      <c r="A3832" s="3" t="s">
        <v>8481</v>
      </c>
      <c r="B3832" s="3" t="s">
        <v>8482</v>
      </c>
    </row>
    <row r="3833" spans="1:2">
      <c r="A3833" s="3" t="s">
        <v>8483</v>
      </c>
      <c r="B3833" s="3" t="s">
        <v>8484</v>
      </c>
    </row>
    <row r="3834" spans="1:2">
      <c r="A3834" s="3" t="s">
        <v>8485</v>
      </c>
      <c r="B3834" s="3" t="s">
        <v>8486</v>
      </c>
    </row>
    <row r="3835" spans="1:2">
      <c r="A3835" s="3" t="s">
        <v>8487</v>
      </c>
      <c r="B3835" s="3" t="s">
        <v>8488</v>
      </c>
    </row>
    <row r="3836" spans="1:2">
      <c r="A3836" s="3" t="s">
        <v>8489</v>
      </c>
      <c r="B3836" s="3" t="s">
        <v>8490</v>
      </c>
    </row>
    <row r="3837" spans="1:2">
      <c r="A3837" s="3" t="s">
        <v>8491</v>
      </c>
      <c r="B3837" s="3" t="s">
        <v>8492</v>
      </c>
    </row>
    <row r="3838" spans="1:2">
      <c r="A3838" s="3" t="s">
        <v>8493</v>
      </c>
      <c r="B3838" s="3" t="s">
        <v>8494</v>
      </c>
    </row>
    <row r="3839" spans="1:2">
      <c r="A3839" s="3" t="s">
        <v>8495</v>
      </c>
      <c r="B3839" s="3" t="s">
        <v>8496</v>
      </c>
    </row>
    <row r="3840" spans="1:2">
      <c r="A3840" s="3" t="s">
        <v>8497</v>
      </c>
      <c r="B3840" s="3" t="s">
        <v>8498</v>
      </c>
    </row>
    <row r="3841" spans="1:2">
      <c r="A3841" s="3" t="s">
        <v>8499</v>
      </c>
      <c r="B3841" s="3" t="s">
        <v>8500</v>
      </c>
    </row>
    <row r="3842" spans="1:2">
      <c r="A3842" s="3" t="s">
        <v>8501</v>
      </c>
      <c r="B3842" s="3" t="s">
        <v>8502</v>
      </c>
    </row>
    <row r="3843" spans="1:2">
      <c r="A3843" s="3" t="s">
        <v>8503</v>
      </c>
      <c r="B3843" s="3" t="s">
        <v>8504</v>
      </c>
    </row>
    <row r="3844" spans="1:2">
      <c r="A3844" s="3" t="s">
        <v>8505</v>
      </c>
      <c r="B3844" s="3" t="s">
        <v>8506</v>
      </c>
    </row>
    <row r="3845" spans="1:2">
      <c r="A3845" s="3" t="s">
        <v>8507</v>
      </c>
      <c r="B3845" s="3" t="s">
        <v>8508</v>
      </c>
    </row>
    <row r="3846" spans="1:2">
      <c r="A3846" s="3" t="s">
        <v>8509</v>
      </c>
      <c r="B3846" s="3" t="s">
        <v>8510</v>
      </c>
    </row>
    <row r="3847" spans="1:2">
      <c r="A3847" s="3" t="s">
        <v>8511</v>
      </c>
      <c r="B3847" s="3" t="s">
        <v>8512</v>
      </c>
    </row>
    <row r="3848" spans="1:2">
      <c r="A3848" s="3" t="s">
        <v>8513</v>
      </c>
      <c r="B3848" s="3" t="s">
        <v>8514</v>
      </c>
    </row>
    <row r="3849" spans="1:2">
      <c r="A3849" s="3" t="s">
        <v>8515</v>
      </c>
      <c r="B3849" s="3" t="s">
        <v>8516</v>
      </c>
    </row>
    <row r="3850" spans="1:2">
      <c r="A3850" s="3" t="s">
        <v>8517</v>
      </c>
      <c r="B3850" s="3" t="s">
        <v>8518</v>
      </c>
    </row>
    <row r="3851" spans="1:2">
      <c r="A3851" s="3" t="s">
        <v>8519</v>
      </c>
      <c r="B3851" s="3" t="s">
        <v>8520</v>
      </c>
    </row>
    <row r="3852" spans="1:2">
      <c r="A3852" s="3" t="s">
        <v>8521</v>
      </c>
      <c r="B3852" s="3" t="s">
        <v>8522</v>
      </c>
    </row>
    <row r="3853" spans="1:2">
      <c r="A3853" s="3" t="s">
        <v>8523</v>
      </c>
      <c r="B3853" s="3" t="s">
        <v>8524</v>
      </c>
    </row>
    <row r="3854" spans="1:2">
      <c r="A3854" s="3" t="s">
        <v>8525</v>
      </c>
      <c r="B3854" s="3" t="s">
        <v>8526</v>
      </c>
    </row>
    <row r="3855" spans="1:2">
      <c r="A3855" s="3" t="s">
        <v>8527</v>
      </c>
      <c r="B3855" s="3" t="s">
        <v>8528</v>
      </c>
    </row>
    <row r="3856" spans="1:2">
      <c r="A3856" s="3" t="s">
        <v>8529</v>
      </c>
      <c r="B3856" s="3" t="s">
        <v>8530</v>
      </c>
    </row>
    <row r="3857" spans="1:2">
      <c r="A3857" s="3" t="s">
        <v>8531</v>
      </c>
      <c r="B3857" s="3" t="s">
        <v>8532</v>
      </c>
    </row>
    <row r="3858" spans="1:2">
      <c r="A3858" s="3" t="s">
        <v>8533</v>
      </c>
      <c r="B3858" s="3" t="s">
        <v>8534</v>
      </c>
    </row>
    <row r="3859" spans="1:2">
      <c r="A3859" s="3" t="s">
        <v>8535</v>
      </c>
      <c r="B3859" s="3" t="s">
        <v>8536</v>
      </c>
    </row>
    <row r="3860" spans="1:2">
      <c r="A3860" s="3" t="s">
        <v>8537</v>
      </c>
      <c r="B3860" s="3" t="s">
        <v>8538</v>
      </c>
    </row>
    <row r="3861" spans="1:2">
      <c r="A3861" s="3" t="s">
        <v>8539</v>
      </c>
      <c r="B3861" s="3" t="s">
        <v>8540</v>
      </c>
    </row>
    <row r="3862" spans="1:2">
      <c r="A3862" s="3" t="s">
        <v>8541</v>
      </c>
      <c r="B3862" s="3" t="s">
        <v>8542</v>
      </c>
    </row>
    <row r="3863" spans="1:2">
      <c r="A3863" s="3" t="s">
        <v>8543</v>
      </c>
      <c r="B3863" s="3" t="s">
        <v>8544</v>
      </c>
    </row>
    <row r="3864" spans="1:2">
      <c r="A3864" s="3" t="s">
        <v>8545</v>
      </c>
      <c r="B3864" s="3" t="s">
        <v>8546</v>
      </c>
    </row>
    <row r="3865" spans="1:2">
      <c r="A3865" s="3" t="s">
        <v>8547</v>
      </c>
      <c r="B3865" s="3" t="s">
        <v>8548</v>
      </c>
    </row>
    <row r="3866" spans="1:2">
      <c r="A3866" s="3" t="s">
        <v>8549</v>
      </c>
      <c r="B3866" s="3" t="s">
        <v>8550</v>
      </c>
    </row>
    <row r="3867" spans="1:2">
      <c r="A3867" s="3" t="s">
        <v>8551</v>
      </c>
      <c r="B3867" s="3" t="s">
        <v>8552</v>
      </c>
    </row>
    <row r="3868" spans="1:2">
      <c r="A3868" s="3" t="s">
        <v>8553</v>
      </c>
      <c r="B3868" s="3" t="s">
        <v>8554</v>
      </c>
    </row>
    <row r="3869" spans="1:2">
      <c r="A3869" s="3" t="s">
        <v>8555</v>
      </c>
      <c r="B3869" s="3" t="s">
        <v>8556</v>
      </c>
    </row>
    <row r="3870" spans="1:2">
      <c r="A3870" s="3" t="s">
        <v>8557</v>
      </c>
      <c r="B3870" s="3" t="s">
        <v>8558</v>
      </c>
    </row>
    <row r="3871" spans="1:2">
      <c r="A3871" s="3" t="s">
        <v>8559</v>
      </c>
      <c r="B3871" s="3" t="s">
        <v>8560</v>
      </c>
    </row>
    <row r="3872" spans="1:2">
      <c r="A3872" s="3" t="s">
        <v>8561</v>
      </c>
      <c r="B3872" s="3" t="s">
        <v>8562</v>
      </c>
    </row>
    <row r="3873" spans="1:2">
      <c r="A3873" s="3" t="s">
        <v>8563</v>
      </c>
      <c r="B3873" s="3" t="s">
        <v>8564</v>
      </c>
    </row>
    <row r="3874" spans="1:2">
      <c r="A3874" s="3" t="s">
        <v>8565</v>
      </c>
      <c r="B3874" s="3" t="s">
        <v>8566</v>
      </c>
    </row>
    <row r="3875" spans="1:2">
      <c r="A3875" s="3" t="s">
        <v>8567</v>
      </c>
      <c r="B3875" s="3" t="s">
        <v>8568</v>
      </c>
    </row>
    <row r="3876" spans="1:2">
      <c r="A3876" s="3" t="s">
        <v>8569</v>
      </c>
      <c r="B3876" s="3" t="s">
        <v>8570</v>
      </c>
    </row>
    <row r="3877" spans="1:2">
      <c r="A3877" s="3" t="s">
        <v>8571</v>
      </c>
      <c r="B3877" s="3" t="s">
        <v>8572</v>
      </c>
    </row>
    <row r="3878" spans="1:2">
      <c r="A3878" s="3" t="s">
        <v>8573</v>
      </c>
      <c r="B3878" s="3" t="s">
        <v>8574</v>
      </c>
    </row>
    <row r="3879" spans="1:2">
      <c r="A3879" s="3" t="s">
        <v>8575</v>
      </c>
      <c r="B3879" s="3" t="s">
        <v>8576</v>
      </c>
    </row>
    <row r="3880" spans="1:2">
      <c r="A3880" s="3" t="s">
        <v>8577</v>
      </c>
      <c r="B3880" s="3" t="s">
        <v>8578</v>
      </c>
    </row>
    <row r="3881" spans="1:2">
      <c r="A3881" s="3" t="s">
        <v>8579</v>
      </c>
      <c r="B3881" s="3" t="s">
        <v>8580</v>
      </c>
    </row>
    <row r="3882" spans="1:2">
      <c r="A3882" s="3" t="s">
        <v>8581</v>
      </c>
      <c r="B3882" s="3" t="s">
        <v>8582</v>
      </c>
    </row>
    <row r="3883" spans="1:2">
      <c r="A3883" s="3" t="s">
        <v>8583</v>
      </c>
      <c r="B3883" s="3" t="s">
        <v>8584</v>
      </c>
    </row>
    <row r="3884" spans="1:2">
      <c r="A3884" s="3" t="s">
        <v>8585</v>
      </c>
      <c r="B3884" s="3" t="s">
        <v>8586</v>
      </c>
    </row>
    <row r="3885" spans="1:2">
      <c r="A3885" s="3" t="s">
        <v>8587</v>
      </c>
      <c r="B3885" s="3" t="s">
        <v>8588</v>
      </c>
    </row>
    <row r="3886" spans="1:2">
      <c r="A3886" s="3" t="s">
        <v>8589</v>
      </c>
      <c r="B3886" s="3" t="s">
        <v>8590</v>
      </c>
    </row>
    <row r="3887" spans="1:2">
      <c r="A3887" s="3" t="s">
        <v>8591</v>
      </c>
      <c r="B3887" s="3" t="s">
        <v>3755</v>
      </c>
    </row>
    <row r="3888" spans="1:2">
      <c r="A3888" s="3" t="s">
        <v>8592</v>
      </c>
      <c r="B3888" s="3" t="s">
        <v>8593</v>
      </c>
    </row>
    <row r="3889" spans="1:2">
      <c r="A3889" s="3" t="s">
        <v>8594</v>
      </c>
      <c r="B3889" s="3" t="s">
        <v>8595</v>
      </c>
    </row>
    <row r="3890" spans="1:2">
      <c r="A3890" s="3" t="s">
        <v>8596</v>
      </c>
      <c r="B3890" s="3" t="s">
        <v>8597</v>
      </c>
    </row>
    <row r="3891" spans="1:2">
      <c r="A3891" s="3" t="s">
        <v>8598</v>
      </c>
      <c r="B3891" s="3" t="s">
        <v>8599</v>
      </c>
    </row>
    <row r="3892" spans="1:2">
      <c r="A3892" s="3" t="s">
        <v>8600</v>
      </c>
      <c r="B3892" s="3" t="s">
        <v>8601</v>
      </c>
    </row>
    <row r="3893" spans="1:2">
      <c r="A3893" s="3" t="s">
        <v>8602</v>
      </c>
      <c r="B3893" s="3" t="s">
        <v>8603</v>
      </c>
    </row>
    <row r="3894" spans="1:2">
      <c r="A3894" s="3" t="s">
        <v>8604</v>
      </c>
      <c r="B3894" s="3" t="s">
        <v>8605</v>
      </c>
    </row>
    <row r="3895" spans="1:2">
      <c r="A3895" s="3" t="s">
        <v>8606</v>
      </c>
      <c r="B3895" s="3" t="s">
        <v>8607</v>
      </c>
    </row>
    <row r="3896" spans="1:2">
      <c r="A3896" s="3" t="s">
        <v>8608</v>
      </c>
      <c r="B3896" s="3" t="s">
        <v>8609</v>
      </c>
    </row>
    <row r="3897" spans="1:2">
      <c r="A3897" s="3" t="s">
        <v>8610</v>
      </c>
      <c r="B3897" s="3" t="s">
        <v>8611</v>
      </c>
    </row>
    <row r="3898" spans="1:2">
      <c r="A3898" s="3" t="s">
        <v>8612</v>
      </c>
      <c r="B3898" s="3" t="s">
        <v>8613</v>
      </c>
    </row>
    <row r="3899" spans="1:2">
      <c r="A3899" s="3" t="s">
        <v>8614</v>
      </c>
      <c r="B3899" s="3" t="s">
        <v>8615</v>
      </c>
    </row>
    <row r="3900" spans="1:2">
      <c r="A3900" s="3" t="s">
        <v>8616</v>
      </c>
      <c r="B3900" s="3" t="s">
        <v>8617</v>
      </c>
    </row>
    <row r="3901" spans="1:2">
      <c r="A3901" s="3" t="s">
        <v>8618</v>
      </c>
      <c r="B3901" s="3" t="s">
        <v>8619</v>
      </c>
    </row>
    <row r="3902" spans="1:2">
      <c r="A3902" s="3" t="s">
        <v>8620</v>
      </c>
      <c r="B3902" s="3" t="s">
        <v>8621</v>
      </c>
    </row>
    <row r="3903" spans="1:2">
      <c r="A3903" s="3" t="s">
        <v>8622</v>
      </c>
      <c r="B3903" s="3" t="s">
        <v>8623</v>
      </c>
    </row>
    <row r="3904" spans="1:2">
      <c r="A3904" s="3" t="s">
        <v>8624</v>
      </c>
      <c r="B3904" s="3" t="s">
        <v>8625</v>
      </c>
    </row>
    <row r="3905" spans="1:2">
      <c r="A3905" s="3" t="s">
        <v>8626</v>
      </c>
      <c r="B3905" s="3" t="s">
        <v>8627</v>
      </c>
    </row>
    <row r="3906" spans="1:2">
      <c r="A3906" s="3" t="s">
        <v>8628</v>
      </c>
      <c r="B3906" s="3" t="s">
        <v>8629</v>
      </c>
    </row>
    <row r="3907" spans="1:2">
      <c r="A3907" s="3" t="s">
        <v>8630</v>
      </c>
      <c r="B3907" s="3" t="s">
        <v>8631</v>
      </c>
    </row>
    <row r="3908" spans="1:2">
      <c r="A3908" s="3" t="s">
        <v>8632</v>
      </c>
      <c r="B3908" s="3" t="s">
        <v>8633</v>
      </c>
    </row>
    <row r="3909" spans="1:2">
      <c r="A3909" s="3" t="s">
        <v>8634</v>
      </c>
      <c r="B3909" s="3" t="s">
        <v>8635</v>
      </c>
    </row>
    <row r="3910" spans="1:2">
      <c r="A3910" s="3" t="s">
        <v>8636</v>
      </c>
      <c r="B3910" s="3" t="s">
        <v>8637</v>
      </c>
    </row>
    <row r="3911" spans="1:2">
      <c r="A3911" s="3" t="s">
        <v>8638</v>
      </c>
      <c r="B3911" s="3" t="s">
        <v>8639</v>
      </c>
    </row>
    <row r="3912" spans="1:2">
      <c r="A3912" s="3" t="s">
        <v>8640</v>
      </c>
      <c r="B3912" s="3" t="s">
        <v>8641</v>
      </c>
    </row>
    <row r="3913" spans="1:2">
      <c r="A3913" s="3" t="s">
        <v>8642</v>
      </c>
      <c r="B3913" s="3" t="s">
        <v>8643</v>
      </c>
    </row>
    <row r="3914" spans="1:2">
      <c r="A3914" s="3" t="s">
        <v>8644</v>
      </c>
      <c r="B3914" s="3" t="s">
        <v>8645</v>
      </c>
    </row>
    <row r="3915" spans="1:2">
      <c r="A3915" s="3" t="s">
        <v>8646</v>
      </c>
      <c r="B3915" s="3" t="s">
        <v>8647</v>
      </c>
    </row>
    <row r="3916" spans="1:2">
      <c r="A3916" s="3" t="s">
        <v>8648</v>
      </c>
      <c r="B3916" s="3" t="s">
        <v>8649</v>
      </c>
    </row>
    <row r="3917" spans="1:2">
      <c r="A3917" s="3" t="s">
        <v>8650</v>
      </c>
      <c r="B3917" s="3" t="s">
        <v>8651</v>
      </c>
    </row>
    <row r="3918" spans="1:2">
      <c r="A3918" s="3" t="s">
        <v>8652</v>
      </c>
      <c r="B3918" s="3" t="s">
        <v>8653</v>
      </c>
    </row>
    <row r="3919" spans="1:2">
      <c r="A3919" s="3" t="s">
        <v>8654</v>
      </c>
      <c r="B3919" s="3" t="s">
        <v>4748</v>
      </c>
    </row>
    <row r="3920" spans="1:2">
      <c r="A3920" s="3" t="s">
        <v>8655</v>
      </c>
      <c r="B3920" s="3" t="s">
        <v>8656</v>
      </c>
    </row>
    <row r="3921" spans="1:2">
      <c r="A3921" s="3" t="s">
        <v>8657</v>
      </c>
      <c r="B3921" s="3" t="s">
        <v>8658</v>
      </c>
    </row>
    <row r="3922" spans="1:2">
      <c r="A3922" s="3" t="s">
        <v>8659</v>
      </c>
      <c r="B3922" s="3" t="s">
        <v>8660</v>
      </c>
    </row>
    <row r="3923" spans="1:2">
      <c r="A3923" s="3" t="s">
        <v>8661</v>
      </c>
      <c r="B3923" s="3" t="s">
        <v>8662</v>
      </c>
    </row>
    <row r="3924" spans="1:2">
      <c r="A3924" s="3" t="s">
        <v>8663</v>
      </c>
      <c r="B3924" s="3" t="s">
        <v>8664</v>
      </c>
    </row>
    <row r="3925" spans="1:2">
      <c r="A3925" s="3" t="s">
        <v>8665</v>
      </c>
      <c r="B3925" s="3" t="s">
        <v>8666</v>
      </c>
    </row>
    <row r="3926" spans="1:2">
      <c r="A3926" s="3" t="s">
        <v>8667</v>
      </c>
      <c r="B3926" s="3" t="s">
        <v>8668</v>
      </c>
    </row>
    <row r="3927" spans="1:2">
      <c r="A3927" s="3" t="s">
        <v>8669</v>
      </c>
      <c r="B3927" s="3" t="s">
        <v>8670</v>
      </c>
    </row>
    <row r="3928" spans="1:2">
      <c r="A3928" s="3" t="s">
        <v>8671</v>
      </c>
      <c r="B3928" s="3" t="s">
        <v>8672</v>
      </c>
    </row>
    <row r="3929" spans="1:2">
      <c r="A3929" s="3" t="s">
        <v>8673</v>
      </c>
      <c r="B3929" s="3" t="s">
        <v>8674</v>
      </c>
    </row>
    <row r="3930" spans="1:2">
      <c r="A3930" s="3" t="s">
        <v>8675</v>
      </c>
      <c r="B3930" s="3" t="s">
        <v>8676</v>
      </c>
    </row>
    <row r="3931" spans="1:2">
      <c r="A3931" s="3" t="s">
        <v>8677</v>
      </c>
      <c r="B3931" s="3" t="s">
        <v>8678</v>
      </c>
    </row>
    <row r="3932" spans="1:2">
      <c r="A3932" s="3" t="s">
        <v>8679</v>
      </c>
      <c r="B3932" s="3" t="s">
        <v>8680</v>
      </c>
    </row>
    <row r="3933" spans="1:2">
      <c r="A3933" s="3" t="s">
        <v>8681</v>
      </c>
      <c r="B3933" s="3" t="s">
        <v>8682</v>
      </c>
    </row>
    <row r="3934" spans="1:2">
      <c r="A3934" s="3" t="s">
        <v>8683</v>
      </c>
      <c r="B3934" s="3" t="s">
        <v>8684</v>
      </c>
    </row>
    <row r="3935" spans="1:2">
      <c r="A3935" s="3" t="s">
        <v>8685</v>
      </c>
      <c r="B3935" s="3" t="s">
        <v>8686</v>
      </c>
    </row>
    <row r="3936" spans="1:2">
      <c r="A3936" s="3" t="s">
        <v>8687</v>
      </c>
      <c r="B3936" s="3" t="s">
        <v>4167</v>
      </c>
    </row>
    <row r="3937" spans="1:2">
      <c r="A3937" s="3" t="s">
        <v>8688</v>
      </c>
      <c r="B3937" s="3" t="s">
        <v>8689</v>
      </c>
    </row>
    <row r="3938" spans="1:2">
      <c r="A3938" s="3" t="s">
        <v>8690</v>
      </c>
      <c r="B3938" s="3" t="s">
        <v>8691</v>
      </c>
    </row>
    <row r="3939" spans="1:2">
      <c r="A3939" s="3" t="s">
        <v>8692</v>
      </c>
      <c r="B3939" s="3" t="s">
        <v>4167</v>
      </c>
    </row>
    <row r="3940" spans="1:2">
      <c r="A3940" s="3" t="s">
        <v>8693</v>
      </c>
      <c r="B3940" s="3" t="s">
        <v>8694</v>
      </c>
    </row>
    <row r="3941" spans="1:2">
      <c r="A3941" s="3" t="s">
        <v>8695</v>
      </c>
      <c r="B3941" s="3" t="s">
        <v>8696</v>
      </c>
    </row>
    <row r="3942" spans="1:2">
      <c r="A3942" s="3" t="s">
        <v>8697</v>
      </c>
      <c r="B3942" s="3" t="s">
        <v>8698</v>
      </c>
    </row>
    <row r="3943" spans="1:2">
      <c r="A3943" s="3" t="s">
        <v>8699</v>
      </c>
      <c r="B3943" s="3" t="s">
        <v>8700</v>
      </c>
    </row>
    <row r="3944" spans="1:2">
      <c r="A3944" s="3" t="s">
        <v>8701</v>
      </c>
      <c r="B3944" s="3" t="s">
        <v>8702</v>
      </c>
    </row>
    <row r="3945" spans="1:2">
      <c r="A3945" s="3" t="s">
        <v>8703</v>
      </c>
      <c r="B3945" s="3" t="s">
        <v>8704</v>
      </c>
    </row>
    <row r="3946" spans="1:2">
      <c r="A3946" s="3" t="s">
        <v>8705</v>
      </c>
      <c r="B3946" s="3" t="s">
        <v>8706</v>
      </c>
    </row>
    <row r="3947" spans="1:2">
      <c r="A3947" s="3" t="s">
        <v>8707</v>
      </c>
      <c r="B3947" s="3" t="s">
        <v>8708</v>
      </c>
    </row>
    <row r="3948" spans="1:2">
      <c r="A3948" s="3" t="s">
        <v>8709</v>
      </c>
      <c r="B3948" s="3" t="s">
        <v>8710</v>
      </c>
    </row>
    <row r="3949" spans="1:2">
      <c r="A3949" s="3" t="s">
        <v>8711</v>
      </c>
      <c r="B3949" s="3" t="s">
        <v>8712</v>
      </c>
    </row>
    <row r="3950" spans="1:2">
      <c r="A3950" s="3" t="s">
        <v>8713</v>
      </c>
      <c r="B3950" s="3" t="s">
        <v>8714</v>
      </c>
    </row>
    <row r="3951" spans="1:2">
      <c r="A3951" s="3" t="s">
        <v>8715</v>
      </c>
      <c r="B3951" s="3" t="s">
        <v>8716</v>
      </c>
    </row>
    <row r="3952" spans="1:2">
      <c r="A3952" s="3" t="s">
        <v>8717</v>
      </c>
      <c r="B3952" s="3" t="s">
        <v>8718</v>
      </c>
    </row>
    <row r="3953" spans="1:2">
      <c r="A3953" s="3" t="s">
        <v>8719</v>
      </c>
      <c r="B3953" s="3" t="s">
        <v>8720</v>
      </c>
    </row>
    <row r="3954" spans="1:2">
      <c r="A3954" s="3" t="s">
        <v>8721</v>
      </c>
      <c r="B3954" s="3" t="s">
        <v>8722</v>
      </c>
    </row>
  </sheetData>
  <pageMargins left="0.7" right="0.7" top="0.75" bottom="0.75" header="0.3" footer="0.3"/>
  <pageSetup paperSize="9" orientation="portrait" r:id="rId1"/>
  <tableParts count="1">
    <tablePart r:id="rId2"/>
  </tablePart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C308B6-BA86-484E-A25C-C5143D7CEFFD}">
  <sheetPr codeName="Feuil30"/>
  <dimension ref="A1:H22"/>
  <sheetViews>
    <sheetView workbookViewId="0">
      <selection activeCell="C6" sqref="C6"/>
    </sheetView>
  </sheetViews>
  <sheetFormatPr baseColWidth="10" defaultRowHeight="15"/>
  <cols>
    <col min="1" max="1" width="16.85546875" customWidth="1"/>
    <col min="2" max="2" width="26.140625" customWidth="1"/>
    <col min="3" max="3" width="26.5703125" customWidth="1"/>
    <col min="4" max="5" width="59.5703125" customWidth="1"/>
    <col min="6" max="6" width="21.85546875" customWidth="1"/>
    <col min="7" max="7" width="44.140625" customWidth="1"/>
  </cols>
  <sheetData>
    <row r="1" spans="1:8">
      <c r="A1" s="2"/>
      <c r="B1" s="2"/>
      <c r="C1" s="2"/>
      <c r="D1" s="2"/>
      <c r="E1" s="43" t="s">
        <v>820</v>
      </c>
      <c r="F1" s="2"/>
      <c r="G1" s="2"/>
      <c r="H1" s="73"/>
    </row>
    <row r="2" spans="1:8">
      <c r="A2" s="2"/>
      <c r="B2" s="2"/>
      <c r="C2" s="2"/>
      <c r="D2" s="2"/>
      <c r="E2" s="2"/>
      <c r="F2" s="2"/>
      <c r="G2" s="2"/>
      <c r="H2" s="73"/>
    </row>
    <row r="3" spans="1:8">
      <c r="A3" s="19" t="s">
        <v>26</v>
      </c>
      <c r="B3" s="25" t="s">
        <v>22</v>
      </c>
      <c r="C3" s="25" t="s">
        <v>23</v>
      </c>
      <c r="D3" s="25" t="s">
        <v>3</v>
      </c>
      <c r="E3" s="19" t="s">
        <v>8723</v>
      </c>
      <c r="F3" s="25" t="s">
        <v>25</v>
      </c>
      <c r="G3" s="25" t="s">
        <v>825</v>
      </c>
      <c r="H3" s="73"/>
    </row>
    <row r="4" spans="1:8" ht="45">
      <c r="A4" s="45" t="str">
        <f>IF(ISBLANK(DATA_OBJECT[[#This Row],[Reference]]),TEXT(ROW(DATA_OBJECT[[#This Row],[Reference]]),"00000")&amp;"|--",TEXT(ROW(DATA_OBJECT[[#This Row],[ID]]),"00000")&amp;"|"&amp;DATA_OBJECT[[#This Row],[Name]])</f>
        <v>00004|Policy</v>
      </c>
      <c r="B4" s="26" t="s">
        <v>618</v>
      </c>
      <c r="C4" s="26" t="s">
        <v>618</v>
      </c>
      <c r="D4" s="27" t="s">
        <v>617</v>
      </c>
      <c r="E4" s="61" t="str">
        <f>IF(ISERROR(VLOOKUP(DATA_OBJECT[[#This Row],[Name]],ACORD_GLOSSARY[],2,FALSE)),"--",VLOOKUP(DATA_OBJECT[[#This Row],[Name]],ACORD_GLOSSARY[],2,FALSE))</f>
        <v xml:space="preserve">
A writing whereby a contract of insurance is made.
    </v>
      </c>
      <c r="F4" s="26" t="s">
        <v>71</v>
      </c>
      <c r="G4" s="26" t="s">
        <v>826</v>
      </c>
      <c r="H4" s="73"/>
    </row>
    <row r="5" spans="1:8" ht="112.5">
      <c r="A5" s="45" t="str">
        <f>IF(ISBLANK(DATA_OBJECT[[#This Row],[Reference]]),TEXT(ROW(DATA_OBJECT[[#This Row],[Reference]]),"00000")&amp;"|--",TEXT(ROW(DATA_OBJECT[[#This Row],[ID]]),"00000")&amp;"|"&amp;DATA_OBJECT[[#This Row],[Name]])</f>
        <v>00005|Coverage</v>
      </c>
      <c r="B5" s="26" t="s">
        <v>619</v>
      </c>
      <c r="C5" s="26" t="s">
        <v>619</v>
      </c>
      <c r="D5" s="27" t="s">
        <v>620</v>
      </c>
      <c r="E5" s="61" t="str">
        <f>IF(ISERROR(VLOOKUP(DATA_OBJECT[[#This Row],[Name]],ACORD_GLOSSARY[],2,FALSE)),"--",VLOOKUP(DATA_OBJECT[[#This Row],[Name]],ACORD_GLOSSARY[],2,FALSE))</f>
        <v xml:space="preserve">
A financial services agreement component detailing the circumstances under which a benefit (money or services) will be paid. Effectively this provides protection against a particular risk. In property insurance, coverage identifies elements such as perils insured against, properties covered, locations covered, individuals insured and the limits of indemnification. In life insurance, a coverage identifies elements such as living and death benefits. 
e.g: Critical illness benefit, part of John's life policy.
    </v>
      </c>
      <c r="F5" s="26" t="s">
        <v>72</v>
      </c>
      <c r="G5" s="26" t="s">
        <v>826</v>
      </c>
      <c r="H5" s="73"/>
    </row>
    <row r="6" spans="1:8" ht="168.75">
      <c r="A6" s="45" t="str">
        <f>IF(ISBLANK(DATA_OBJECT[[#This Row],[Reference]]),TEXT(ROW(DATA_OBJECT[[#This Row],[Reference]]),"00000")&amp;"|--",TEXT(ROW(DATA_OBJECT[[#This Row],[ID]]),"00000")&amp;"|"&amp;DATA_OBJECT[[#This Row],[Name]])</f>
        <v>00006|Claim</v>
      </c>
      <c r="B6" s="26" t="s">
        <v>621</v>
      </c>
      <c r="C6" s="26" t="s">
        <v>621</v>
      </c>
      <c r="D6" s="27" t="s">
        <v>622</v>
      </c>
      <c r="E6" s="61" t="str">
        <f>IF(ISERROR(VLOOKUP(DATA_OBJECT[[#This Row],[Name]],ACORD_GLOSSARY[],2,FALSE)),"--",VLOOKUP(DATA_OBJECT[[#This Row],[Name]],ACORD_GLOSSARY[],2,FALSE))</f>
        <v xml:space="preserve">
A claim is a demand by a party to obtain money or enforcement of a right or benefit.
A claim can be related to an agreement, a loss event, and/or an assessment.
If a loss event occurs, a claim may be created. One event may generate several claims, if several contracts are impacted.
If an assessment occurs, a claim may be created. For example, a person may have a medical assessment (e.g. dental examination) that leads to a claim.
Claims can be associated with other claims, each of them being related to an agreement and possibly many claim coverages.
    </v>
      </c>
      <c r="F6" s="26" t="s">
        <v>71</v>
      </c>
      <c r="G6" s="26" t="s">
        <v>827</v>
      </c>
      <c r="H6" s="73"/>
    </row>
    <row r="7" spans="1:8">
      <c r="A7" s="45" t="str">
        <f>IF(ISBLANK(DATA_OBJECT[[#This Row],[Reference]]),TEXT(ROW(DATA_OBJECT[[#This Row],[Reference]]),"00000")&amp;"|--",TEXT(ROW(DATA_OBJECT[[#This Row],[ID]]),"00000")&amp;"|"&amp;DATA_OBJECT[[#This Row],[Name]])</f>
        <v>00007|--</v>
      </c>
      <c r="B7" s="26"/>
      <c r="C7" s="26"/>
      <c r="D7" s="26"/>
      <c r="E7" s="61" t="str">
        <f>IF(ISERROR(VLOOKUP(DATA_OBJECT[[#This Row],[Name]],ACORD_GLOSSARY[],2,FALSE)),"--",VLOOKUP(DATA_OBJECT[[#This Row],[Name]],ACORD_GLOSSARY[],2,FALSE))</f>
        <v>--</v>
      </c>
      <c r="F7" s="26"/>
      <c r="G7" s="26"/>
      <c r="H7" s="73"/>
    </row>
    <row r="8" spans="1:8">
      <c r="A8" s="45" t="str">
        <f>IF(ISBLANK(DATA_OBJECT[[#This Row],[Reference]]),TEXT(ROW(DATA_OBJECT[[#This Row],[Reference]]),"00000")&amp;"|--",TEXT(ROW(DATA_OBJECT[[#This Row],[ID]]),"00000")&amp;"|"&amp;DATA_OBJECT[[#This Row],[Name]])</f>
        <v>00008|--</v>
      </c>
      <c r="B8" s="26"/>
      <c r="C8" s="26"/>
      <c r="D8" s="26"/>
      <c r="E8" s="61" t="str">
        <f>IF(ISERROR(VLOOKUP(DATA_OBJECT[[#This Row],[Name]],ACORD_GLOSSARY[],2,FALSE)),"--",VLOOKUP(DATA_OBJECT[[#This Row],[Name]],ACORD_GLOSSARY[],2,FALSE))</f>
        <v>--</v>
      </c>
      <c r="F8" s="26"/>
      <c r="G8" s="26"/>
      <c r="H8" s="73"/>
    </row>
    <row r="9" spans="1:8">
      <c r="A9" s="45" t="str">
        <f>IF(ISBLANK(DATA_OBJECT[[#This Row],[Reference]]),TEXT(ROW(DATA_OBJECT[[#This Row],[Reference]]),"00000")&amp;"|--",TEXT(ROW(DATA_OBJECT[[#This Row],[ID]]),"00000")&amp;"|"&amp;DATA_OBJECT[[#This Row],[Name]])</f>
        <v>00009|--</v>
      </c>
      <c r="B9" s="26"/>
      <c r="C9" s="26"/>
      <c r="D9" s="26"/>
      <c r="E9" s="61" t="str">
        <f>IF(ISERROR(VLOOKUP(DATA_OBJECT[[#This Row],[Name]],ACORD_GLOSSARY[],2,FALSE)),"--",VLOOKUP(DATA_OBJECT[[#This Row],[Name]],ACORD_GLOSSARY[],2,FALSE))</f>
        <v>--</v>
      </c>
      <c r="F9" s="26"/>
      <c r="G9" s="26"/>
      <c r="H9" s="73"/>
    </row>
    <row r="10" spans="1:8">
      <c r="A10" s="45" t="str">
        <f>IF(ISBLANK(DATA_OBJECT[[#This Row],[Reference]]),TEXT(ROW(DATA_OBJECT[[#This Row],[Reference]]),"00000")&amp;"|--",TEXT(ROW(DATA_OBJECT[[#This Row],[ID]]),"00000")&amp;"|"&amp;DATA_OBJECT[[#This Row],[Name]])</f>
        <v>00010|--</v>
      </c>
      <c r="B10" s="26"/>
      <c r="C10" s="26"/>
      <c r="D10" s="26"/>
      <c r="E10" s="61" t="str">
        <f>IF(ISERROR(VLOOKUP(DATA_OBJECT[[#This Row],[Name]],ACORD_GLOSSARY[],2,FALSE)),"--",VLOOKUP(DATA_OBJECT[[#This Row],[Name]],ACORD_GLOSSARY[],2,FALSE))</f>
        <v>--</v>
      </c>
      <c r="F10" s="26"/>
      <c r="G10" s="26"/>
      <c r="H10" s="73"/>
    </row>
    <row r="11" spans="1:8">
      <c r="A11" s="45" t="str">
        <f>IF(ISBLANK(DATA_OBJECT[[#This Row],[Reference]]),TEXT(ROW(DATA_OBJECT[[#This Row],[Reference]]),"00000")&amp;"|--",TEXT(ROW(DATA_OBJECT[[#This Row],[ID]]),"00000")&amp;"|"&amp;DATA_OBJECT[[#This Row],[Name]])</f>
        <v>00011|--</v>
      </c>
      <c r="B11" s="26"/>
      <c r="C11" s="26"/>
      <c r="D11" s="26"/>
      <c r="E11" s="61" t="str">
        <f>IF(ISERROR(VLOOKUP(DATA_OBJECT[[#This Row],[Name]],ACORD_GLOSSARY[],2,FALSE)),"--",VLOOKUP(DATA_OBJECT[[#This Row],[Name]],ACORD_GLOSSARY[],2,FALSE))</f>
        <v>--</v>
      </c>
      <c r="F11" s="26"/>
      <c r="G11" s="26"/>
      <c r="H11" s="73"/>
    </row>
    <row r="12" spans="1:8">
      <c r="A12" s="45" t="str">
        <f>IF(ISBLANK(DATA_OBJECT[[#This Row],[Reference]]),TEXT(ROW(DATA_OBJECT[[#This Row],[Reference]]),"00000")&amp;"|--",TEXT(ROW(DATA_OBJECT[[#This Row],[ID]]),"00000")&amp;"|"&amp;DATA_OBJECT[[#This Row],[Name]])</f>
        <v>00012|--</v>
      </c>
      <c r="B12" s="26"/>
      <c r="C12" s="26"/>
      <c r="D12" s="26"/>
      <c r="E12" s="61" t="str">
        <f>IF(ISERROR(VLOOKUP(DATA_OBJECT[[#This Row],[Name]],ACORD_GLOSSARY[],2,FALSE)),"--",VLOOKUP(DATA_OBJECT[[#This Row],[Name]],ACORD_GLOSSARY[],2,FALSE))</f>
        <v>--</v>
      </c>
      <c r="F12" s="26"/>
      <c r="G12" s="26"/>
      <c r="H12" s="73"/>
    </row>
    <row r="13" spans="1:8">
      <c r="A13" s="45" t="str">
        <f>IF(ISBLANK(DATA_OBJECT[[#This Row],[Reference]]),TEXT(ROW(DATA_OBJECT[[#This Row],[Reference]]),"00000")&amp;"|--",TEXT(ROW(DATA_OBJECT[[#This Row],[ID]]),"00000")&amp;"|"&amp;DATA_OBJECT[[#This Row],[Name]])</f>
        <v>00013|--</v>
      </c>
      <c r="B13" s="26"/>
      <c r="C13" s="26"/>
      <c r="D13" s="26"/>
      <c r="E13" s="61" t="str">
        <f>IF(ISERROR(VLOOKUP(DATA_OBJECT[[#This Row],[Name]],ACORD_GLOSSARY[],2,FALSE)),"--",VLOOKUP(DATA_OBJECT[[#This Row],[Name]],ACORD_GLOSSARY[],2,FALSE))</f>
        <v>--</v>
      </c>
      <c r="F13" s="26"/>
      <c r="G13" s="26"/>
      <c r="H13" s="73"/>
    </row>
    <row r="14" spans="1:8">
      <c r="A14" s="45" t="str">
        <f>IF(ISBLANK(DATA_OBJECT[[#This Row],[Reference]]),TEXT(ROW(DATA_OBJECT[[#This Row],[Reference]]),"00000")&amp;"|--",TEXT(ROW(DATA_OBJECT[[#This Row],[ID]]),"00000")&amp;"|"&amp;DATA_OBJECT[[#This Row],[Name]])</f>
        <v>00014|--</v>
      </c>
      <c r="B14" s="26"/>
      <c r="C14" s="26"/>
      <c r="D14" s="26"/>
      <c r="E14" s="61" t="str">
        <f>IF(ISERROR(VLOOKUP(DATA_OBJECT[[#This Row],[Name]],ACORD_GLOSSARY[],2,FALSE)),"--",VLOOKUP(DATA_OBJECT[[#This Row],[Name]],ACORD_GLOSSARY[],2,FALSE))</f>
        <v>--</v>
      </c>
      <c r="F14" s="26"/>
      <c r="G14" s="26"/>
      <c r="H14" s="73"/>
    </row>
    <row r="15" spans="1:8">
      <c r="A15" s="45" t="str">
        <f>IF(ISBLANK(DATA_OBJECT[[#This Row],[Reference]]),TEXT(ROW(DATA_OBJECT[[#This Row],[Reference]]),"00000")&amp;"|--",TEXT(ROW(DATA_OBJECT[[#This Row],[ID]]),"00000")&amp;"|"&amp;DATA_OBJECT[[#This Row],[Name]])</f>
        <v>00015|--</v>
      </c>
      <c r="B15" s="26"/>
      <c r="C15" s="26"/>
      <c r="D15" s="26"/>
      <c r="E15" s="61" t="str">
        <f>IF(ISERROR(VLOOKUP(DATA_OBJECT[[#This Row],[Name]],ACORD_GLOSSARY[],2,FALSE)),"--",VLOOKUP(DATA_OBJECT[[#This Row],[Name]],ACORD_GLOSSARY[],2,FALSE))</f>
        <v>--</v>
      </c>
      <c r="F15" s="26"/>
      <c r="G15" s="26"/>
      <c r="H15" s="73"/>
    </row>
    <row r="16" spans="1:8">
      <c r="A16" s="45" t="str">
        <f>IF(ISBLANK(DATA_OBJECT[[#This Row],[Reference]]),TEXT(ROW(DATA_OBJECT[[#This Row],[Reference]]),"00000")&amp;"|--",TEXT(ROW(DATA_OBJECT[[#This Row],[ID]]),"00000")&amp;"|"&amp;DATA_OBJECT[[#This Row],[Name]])</f>
        <v>00016|--</v>
      </c>
      <c r="B16" s="26"/>
      <c r="C16" s="26"/>
      <c r="D16" s="26"/>
      <c r="E16" s="61" t="str">
        <f>IF(ISERROR(VLOOKUP(DATA_OBJECT[[#This Row],[Name]],ACORD_GLOSSARY[],2,FALSE)),"--",VLOOKUP(DATA_OBJECT[[#This Row],[Name]],ACORD_GLOSSARY[],2,FALSE))</f>
        <v>--</v>
      </c>
      <c r="F16" s="26"/>
      <c r="G16" s="26"/>
      <c r="H16" s="73"/>
    </row>
    <row r="17" spans="1:8">
      <c r="A17" s="45" t="str">
        <f>IF(ISBLANK(DATA_OBJECT[[#This Row],[Reference]]),TEXT(ROW(DATA_OBJECT[[#This Row],[Reference]]),"00000")&amp;"|--",TEXT(ROW(DATA_OBJECT[[#This Row],[ID]]),"00000")&amp;"|"&amp;DATA_OBJECT[[#This Row],[Name]])</f>
        <v>00017|--</v>
      </c>
      <c r="B17" s="26"/>
      <c r="C17" s="26"/>
      <c r="D17" s="26"/>
      <c r="E17" s="61" t="str">
        <f>IF(ISERROR(VLOOKUP(DATA_OBJECT[[#This Row],[Name]],ACORD_GLOSSARY[],2,FALSE)),"--",VLOOKUP(DATA_OBJECT[[#This Row],[Name]],ACORD_GLOSSARY[],2,FALSE))</f>
        <v>--</v>
      </c>
      <c r="F17" s="26"/>
      <c r="G17" s="26"/>
      <c r="H17" s="73"/>
    </row>
    <row r="18" spans="1:8">
      <c r="A18" s="45" t="str">
        <f>IF(ISBLANK(DATA_OBJECT[[#This Row],[Reference]]),TEXT(ROW(DATA_OBJECT[[#This Row],[Reference]]),"00000")&amp;"|--",TEXT(ROW(DATA_OBJECT[[#This Row],[ID]]),"00000")&amp;"|"&amp;DATA_OBJECT[[#This Row],[Name]])</f>
        <v>00018|--</v>
      </c>
      <c r="B18" s="26"/>
      <c r="C18" s="26"/>
      <c r="D18" s="26"/>
      <c r="E18" s="61" t="str">
        <f>IF(ISERROR(VLOOKUP(DATA_OBJECT[[#This Row],[Name]],ACORD_GLOSSARY[],2,FALSE)),"--",VLOOKUP(DATA_OBJECT[[#This Row],[Name]],ACORD_GLOSSARY[],2,FALSE))</f>
        <v>--</v>
      </c>
      <c r="F18" s="26"/>
      <c r="G18" s="26"/>
      <c r="H18" s="73"/>
    </row>
    <row r="19" spans="1:8">
      <c r="A19" s="45" t="str">
        <f>IF(ISBLANK(DATA_OBJECT[[#This Row],[Reference]]),TEXT(ROW(DATA_OBJECT[[#This Row],[Reference]]),"00000")&amp;"|--",TEXT(ROW(DATA_OBJECT[[#This Row],[ID]]),"00000")&amp;"|"&amp;DATA_OBJECT[[#This Row],[Name]])</f>
        <v>00019|--</v>
      </c>
      <c r="B19" s="26"/>
      <c r="C19" s="26"/>
      <c r="D19" s="26"/>
      <c r="E19" s="61" t="str">
        <f>IF(ISERROR(VLOOKUP(DATA_OBJECT[[#This Row],[Name]],ACORD_GLOSSARY[],2,FALSE)),"--",VLOOKUP(DATA_OBJECT[[#This Row],[Name]],ACORD_GLOSSARY[],2,FALSE))</f>
        <v>--</v>
      </c>
      <c r="F19" s="26"/>
      <c r="G19" s="26"/>
      <c r="H19" s="73"/>
    </row>
    <row r="20" spans="1:8">
      <c r="A20" s="45" t="str">
        <f>IF(ISBLANK(DATA_OBJECT[[#This Row],[Reference]]),TEXT(ROW(DATA_OBJECT[[#This Row],[Reference]]),"00000")&amp;"|--",TEXT(ROW(DATA_OBJECT[[#This Row],[ID]]),"00000")&amp;"|"&amp;DATA_OBJECT[[#This Row],[Name]])</f>
        <v>00020|--</v>
      </c>
      <c r="B20" s="26"/>
      <c r="C20" s="26"/>
      <c r="D20" s="26"/>
      <c r="E20" s="61" t="str">
        <f>IF(ISERROR(VLOOKUP(DATA_OBJECT[[#This Row],[Name]],ACORD_GLOSSARY[],2,FALSE)),"--",VLOOKUP(DATA_OBJECT[[#This Row],[Name]],ACORD_GLOSSARY[],2,FALSE))</f>
        <v>--</v>
      </c>
      <c r="F20" s="26"/>
      <c r="G20" s="26"/>
      <c r="H20" s="73"/>
    </row>
    <row r="21" spans="1:8">
      <c r="A21" s="73"/>
      <c r="B21" s="73"/>
      <c r="C21" s="73"/>
      <c r="D21" s="73"/>
      <c r="E21" s="73"/>
      <c r="F21" s="73"/>
      <c r="G21" s="73"/>
      <c r="H21" s="73"/>
    </row>
    <row r="22" spans="1:8">
      <c r="H22" s="72"/>
    </row>
  </sheetData>
  <sheetProtection sheet="1" formatRows="0" sort="0" autoFilter="0"/>
  <dataValidations count="3">
    <dataValidation type="list" errorStyle="information" showInputMessage="1" showErrorMessage="1" errorTitle="Entry not allowed" error="Value not allowed" sqref="G4" xr:uid="{BDCE6658-4EAF-477E-A509-E1F61D7702D3}">
      <formula1>INDIRECT("DATA_DOMAIN[ID]")</formula1>
    </dataValidation>
    <dataValidation type="list" errorStyle="information" allowBlank="1" showInputMessage="1" showErrorMessage="1" errorTitle="Entry not allowed" error="Value not allowed" sqref="G5:G8" xr:uid="{00ECF553-6799-4459-A4DD-08A0FDEDB3D2}">
      <formula1>INDIRECT("DATA_DOMAIN[ID]")</formula1>
    </dataValidation>
    <dataValidation type="list" errorStyle="information" allowBlank="1" showInputMessage="1" showErrorMessage="1" errorTitle="Entry not allowed" error="Please update LOVs" sqref="F4:F20" xr:uid="{779C828D-A9D6-421C-A6E6-2112E00EEB29}">
      <formula1>BOOLEAN</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45057" r:id="rId4" name="Checkbox_acord_dobj">
          <controlPr defaultSize="0" autoFill="0" autoLine="0" r:id="rId5">
            <anchor moveWithCells="1">
              <from>
                <xdr:col>2</xdr:col>
                <xdr:colOff>38100</xdr:colOff>
                <xdr:row>0</xdr:row>
                <xdr:rowOff>57150</xdr:rowOff>
              </from>
              <to>
                <xdr:col>2</xdr:col>
                <xdr:colOff>1743075</xdr:colOff>
                <xdr:row>1</xdr:row>
                <xdr:rowOff>133350</xdr:rowOff>
              </to>
            </anchor>
          </controlPr>
        </control>
      </mc:Choice>
      <mc:Fallback>
        <control shapeId="45057" r:id="rId4" name="Checkbox_acord_dobj"/>
      </mc:Fallback>
    </mc:AlternateContent>
  </controls>
  <tableParts count="1">
    <tablePart r:id="rId6"/>
  </tablePart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Feuil7"/>
  <dimension ref="A1:L33"/>
  <sheetViews>
    <sheetView workbookViewId="0">
      <selection activeCell="F14" sqref="F14:F16"/>
    </sheetView>
  </sheetViews>
  <sheetFormatPr baseColWidth="10" defaultColWidth="11.42578125" defaultRowHeight="15"/>
  <cols>
    <col min="1" max="1" width="20.42578125" bestFit="1" customWidth="1"/>
    <col min="2" max="2" width="15.42578125" bestFit="1" customWidth="1"/>
    <col min="3" max="3" width="27.5703125" customWidth="1"/>
    <col min="4" max="5" width="50.140625" customWidth="1"/>
    <col min="6" max="6" width="24.5703125" customWidth="1"/>
    <col min="7" max="7" width="23.7109375" customWidth="1"/>
    <col min="8" max="8" width="18.5703125" customWidth="1"/>
    <col min="9" max="9" width="22" customWidth="1"/>
    <col min="10" max="10" width="33" customWidth="1"/>
    <col min="11" max="11" width="32" bestFit="1" customWidth="1"/>
    <col min="12" max="12" width="11" customWidth="1"/>
  </cols>
  <sheetData>
    <row r="1" spans="1:12">
      <c r="A1" s="2"/>
      <c r="B1" s="2"/>
      <c r="C1" s="2"/>
      <c r="D1" s="2"/>
      <c r="E1" s="2"/>
      <c r="F1" s="2"/>
      <c r="G1" s="2"/>
      <c r="H1" s="2"/>
      <c r="I1" s="2"/>
      <c r="J1" s="2"/>
    </row>
    <row r="2" spans="1:12">
      <c r="A2" s="2"/>
      <c r="B2" s="2"/>
      <c r="C2" s="2"/>
      <c r="D2" s="2"/>
      <c r="E2" s="2"/>
      <c r="F2" s="2"/>
      <c r="G2" s="2"/>
      <c r="H2" s="2"/>
      <c r="I2" s="2"/>
      <c r="J2" s="2"/>
    </row>
    <row r="3" spans="1:12">
      <c r="A3" s="20" t="s">
        <v>26</v>
      </c>
      <c r="B3" s="25" t="s">
        <v>22</v>
      </c>
      <c r="C3" s="25" t="s">
        <v>23</v>
      </c>
      <c r="D3" s="25" t="s">
        <v>3</v>
      </c>
      <c r="E3" s="19" t="s">
        <v>8723</v>
      </c>
      <c r="F3" s="25" t="s">
        <v>27</v>
      </c>
      <c r="G3" s="25" t="s">
        <v>28</v>
      </c>
      <c r="H3" s="25" t="s">
        <v>8801</v>
      </c>
      <c r="I3" s="25" t="s">
        <v>789</v>
      </c>
      <c r="J3" s="25" t="s">
        <v>8728</v>
      </c>
      <c r="K3" s="25" t="s">
        <v>825</v>
      </c>
      <c r="L3" s="73"/>
    </row>
    <row r="4" spans="1:12" ht="22.5">
      <c r="A4" s="45" t="str">
        <f>IF(ISBLANK(DATA_ELEMENT[[#This Row],[Reference]]),TEXT(ROW(DATA_ELEMENT[[#This Row],[Reference]]),"00000")&amp;"|--",TEXT(ROW(DATA_ELEMENT[[#This Row],[ID]]),"00000")&amp;"|"&amp;DATA_ELEMENT[[#This Row],[Name]])</f>
        <v>00004|Policy Identifier</v>
      </c>
      <c r="B4" s="26" t="s">
        <v>657</v>
      </c>
      <c r="C4" s="26" t="s">
        <v>623</v>
      </c>
      <c r="D4" s="27" t="s">
        <v>624</v>
      </c>
      <c r="E4" s="61" t="str">
        <f>IF(ISERROR(VLOOKUP(DATA_ELEMENT[[#This Row],[Name]],ACORD_GLOSSARY[],2,FALSE)),"--",VLOOKUP(DATA_ELEMENT[[#This Row],[Name]],ACORD_GLOSSARY[],2,FALSE))</f>
        <v>--</v>
      </c>
      <c r="F4" s="26" t="s">
        <v>60</v>
      </c>
      <c r="G4" s="27" t="s">
        <v>60</v>
      </c>
      <c r="H4" s="27">
        <v>4</v>
      </c>
      <c r="I4" s="26" t="s">
        <v>831</v>
      </c>
      <c r="J4" s="45" t="str">
        <f>IF(ISBLANK(DATA_ELEMENT[[#This Row],[Data Object ID]]),"-",IF(ISERROR(VLOOKUP(DATA_ELEMENT[[#This Row],[Data Object ID]],DATA_OBJECT[],3,FALSE)),"Not found",VLOOKUP(DATA_ELEMENT[[#This Row],[Data Object ID]],DATA_OBJECT[],3,FALSE)))</f>
        <v>Policy</v>
      </c>
      <c r="K4" s="26" t="s">
        <v>826</v>
      </c>
      <c r="L4" s="73"/>
    </row>
    <row r="5" spans="1:12" ht="78.75">
      <c r="A5" s="45" t="str">
        <f>IF(ISBLANK(DATA_ELEMENT[[#This Row],[Reference]]),TEXT(ROW(DATA_ELEMENT[[#This Row],[Reference]]),"00000")&amp;"|--",TEXT(ROW(DATA_ELEMENT[[#This Row],[ID]]),"00000")&amp;"|"&amp;DATA_ELEMENT[[#This Row],[Name]])</f>
        <v>00005|Policy Number</v>
      </c>
      <c r="B5" s="26" t="s">
        <v>658</v>
      </c>
      <c r="C5" s="26" t="s">
        <v>633</v>
      </c>
      <c r="D5" s="27" t="s">
        <v>634</v>
      </c>
      <c r="E5" s="61" t="str">
        <f>IF(ISERROR(VLOOKUP(DATA_ELEMENT[[#This Row],[Name]],ACORD_GLOSSARY[],2,FALSE)),"--",VLOOKUP(DATA_ELEMENT[[#This Row],[Name]],ACORD_GLOSSARY[],2,FALSE))</f>
        <v>--</v>
      </c>
      <c r="F5" s="26" t="s">
        <v>64</v>
      </c>
      <c r="G5" s="27" t="s">
        <v>58</v>
      </c>
      <c r="H5" s="27">
        <v>4</v>
      </c>
      <c r="I5" s="26" t="s">
        <v>831</v>
      </c>
      <c r="J5" s="45" t="str">
        <f>IF(ISBLANK(DATA_ELEMENT[[#This Row],[Data Object ID]]),"-",IF(ISERROR(VLOOKUP(DATA_ELEMENT[[#This Row],[Data Object ID]],DATA_OBJECT[],3,FALSE)),"Not found",VLOOKUP(DATA_ELEMENT[[#This Row],[Data Object ID]],DATA_OBJECT[],3,FALSE)))</f>
        <v>Policy</v>
      </c>
      <c r="K5" s="26" t="s">
        <v>8782</v>
      </c>
      <c r="L5" s="73"/>
    </row>
    <row r="6" spans="1:12" ht="22.5">
      <c r="A6" s="45" t="str">
        <f>IF(ISBLANK(DATA_ELEMENT[[#This Row],[Reference]]),TEXT(ROW(DATA_ELEMENT[[#This Row],[Reference]]),"00000")&amp;"|--",TEXT(ROW(DATA_ELEMENT[[#This Row],[ID]]),"00000")&amp;"|"&amp;DATA_ELEMENT[[#This Row],[Name]])</f>
        <v>00006|Policy Status Code</v>
      </c>
      <c r="B6" s="26" t="s">
        <v>659</v>
      </c>
      <c r="C6" s="26" t="s">
        <v>636</v>
      </c>
      <c r="D6" s="27" t="s">
        <v>635</v>
      </c>
      <c r="E6" s="61" t="str">
        <f>IF(ISERROR(VLOOKUP(DATA_ELEMENT[[#This Row],[Name]],ACORD_GLOSSARY[],2,FALSE)),"--",VLOOKUP(DATA_ELEMENT[[#This Row],[Name]],ACORD_GLOSSARY[],2,FALSE))</f>
        <v>--</v>
      </c>
      <c r="F6" s="26" t="s">
        <v>64</v>
      </c>
      <c r="G6" s="27" t="s">
        <v>50</v>
      </c>
      <c r="H6" s="27">
        <v>3</v>
      </c>
      <c r="I6" s="26" t="s">
        <v>831</v>
      </c>
      <c r="J6" s="45" t="str">
        <f>IF(ISBLANK(DATA_ELEMENT[[#This Row],[Data Object ID]]),"-",IF(ISERROR(VLOOKUP(DATA_ELEMENT[[#This Row],[Data Object ID]],DATA_OBJECT[],3,FALSE)),"Not found",VLOOKUP(DATA_ELEMENT[[#This Row],[Data Object ID]],DATA_OBJECT[],3,FALSE)))</f>
        <v>Policy</v>
      </c>
      <c r="K6" s="26" t="s">
        <v>826</v>
      </c>
      <c r="L6" s="73"/>
    </row>
    <row r="7" spans="1:12" ht="22.5">
      <c r="A7" s="45" t="str">
        <f>IF(ISBLANK(DATA_ELEMENT[[#This Row],[Reference]]),TEXT(ROW(DATA_ELEMENT[[#This Row],[Reference]]),"00000")&amp;"|--",TEXT(ROW(DATA_ELEMENT[[#This Row],[ID]]),"00000")&amp;"|"&amp;DATA_ELEMENT[[#This Row],[Name]])</f>
        <v>00007|Effective Start Date</v>
      </c>
      <c r="B7" s="26" t="s">
        <v>660</v>
      </c>
      <c r="C7" s="26" t="s">
        <v>625</v>
      </c>
      <c r="D7" s="27" t="s">
        <v>626</v>
      </c>
      <c r="E7" s="61" t="str">
        <f>IF(ISERROR(VLOOKUP(DATA_ELEMENT[[#This Row],[Name]],ACORD_GLOSSARY[],2,FALSE)),"--",VLOOKUP(DATA_ELEMENT[[#This Row],[Name]],ACORD_GLOSSARY[],2,FALSE))</f>
        <v>--</v>
      </c>
      <c r="F7" s="26" t="s">
        <v>60</v>
      </c>
      <c r="G7" s="27" t="s">
        <v>50</v>
      </c>
      <c r="H7" s="27">
        <v>4</v>
      </c>
      <c r="I7" s="26" t="s">
        <v>831</v>
      </c>
      <c r="J7" s="45" t="str">
        <f>IF(ISBLANK(DATA_ELEMENT[[#This Row],[Data Object ID]]),"-",IF(ISERROR(VLOOKUP(DATA_ELEMENT[[#This Row],[Data Object ID]],DATA_OBJECT[],3,FALSE)),"Not found",VLOOKUP(DATA_ELEMENT[[#This Row],[Data Object ID]],DATA_OBJECT[],3,FALSE)))</f>
        <v>Policy</v>
      </c>
      <c r="K7" s="26" t="s">
        <v>826</v>
      </c>
      <c r="L7" s="73"/>
    </row>
    <row r="8" spans="1:12" ht="22.5">
      <c r="A8" s="45" t="str">
        <f>IF(ISBLANK(DATA_ELEMENT[[#This Row],[Reference]]),TEXT(ROW(DATA_ELEMENT[[#This Row],[Reference]]),"00000")&amp;"|--",TEXT(ROW(DATA_ELEMENT[[#This Row],[ID]]),"00000")&amp;"|"&amp;DATA_ELEMENT[[#This Row],[Name]])</f>
        <v>00008|Initial Effective Date</v>
      </c>
      <c r="B8" s="26" t="s">
        <v>661</v>
      </c>
      <c r="C8" s="26" t="s">
        <v>627</v>
      </c>
      <c r="D8" s="27" t="s">
        <v>628</v>
      </c>
      <c r="E8" s="61" t="str">
        <f>IF(ISERROR(VLOOKUP(DATA_ELEMENT[[#This Row],[Name]],ACORD_GLOSSARY[],2,FALSE)),"--",VLOOKUP(DATA_ELEMENT[[#This Row],[Name]],ACORD_GLOSSARY[],2,FALSE))</f>
        <v>--</v>
      </c>
      <c r="F8" s="26" t="s">
        <v>60</v>
      </c>
      <c r="G8" s="27" t="s">
        <v>50</v>
      </c>
      <c r="H8" s="27">
        <v>4</v>
      </c>
      <c r="I8" s="26" t="s">
        <v>831</v>
      </c>
      <c r="J8" s="45" t="str">
        <f>IF(ISBLANK(DATA_ELEMENT[[#This Row],[Data Object ID]]),"-",IF(ISERROR(VLOOKUP(DATA_ELEMENT[[#This Row],[Data Object ID]],DATA_OBJECT[],3,FALSE)),"Not found",VLOOKUP(DATA_ELEMENT[[#This Row],[Data Object ID]],DATA_OBJECT[],3,FALSE)))</f>
        <v>Policy</v>
      </c>
      <c r="K8" s="26" t="s">
        <v>826</v>
      </c>
      <c r="L8" s="73"/>
    </row>
    <row r="9" spans="1:12" ht="22.5">
      <c r="A9" s="45" t="str">
        <f>IF(ISBLANK(DATA_ELEMENT[[#This Row],[Reference]]),TEXT(ROW(DATA_ELEMENT[[#This Row],[Reference]]),"00000")&amp;"|--",TEXT(ROW(DATA_ELEMENT[[#This Row],[ID]]),"00000")&amp;"|"&amp;DATA_ELEMENT[[#This Row],[Name]])</f>
        <v>00009|Expiration Date</v>
      </c>
      <c r="B9" s="26" t="s">
        <v>662</v>
      </c>
      <c r="C9" s="26" t="s">
        <v>629</v>
      </c>
      <c r="D9" s="27" t="s">
        <v>630</v>
      </c>
      <c r="E9" s="61" t="str">
        <f>IF(ISERROR(VLOOKUP(DATA_ELEMENT[[#This Row],[Name]],ACORD_GLOSSARY[],2,FALSE)),"--",VLOOKUP(DATA_ELEMENT[[#This Row],[Name]],ACORD_GLOSSARY[],2,FALSE))</f>
        <v>--</v>
      </c>
      <c r="F9" s="26" t="s">
        <v>65</v>
      </c>
      <c r="G9" s="27" t="s">
        <v>50</v>
      </c>
      <c r="H9" s="27">
        <v>4</v>
      </c>
      <c r="I9" s="26" t="s">
        <v>831</v>
      </c>
      <c r="J9" s="45" t="str">
        <f>IF(ISBLANK(DATA_ELEMENT[[#This Row],[Data Object ID]]),"-",IF(ISERROR(VLOOKUP(DATA_ELEMENT[[#This Row],[Data Object ID]],DATA_OBJECT[],3,FALSE)),"Not found",VLOOKUP(DATA_ELEMENT[[#This Row],[Data Object ID]],DATA_OBJECT[],3,FALSE)))</f>
        <v>Policy</v>
      </c>
      <c r="K9" s="26" t="s">
        <v>826</v>
      </c>
      <c r="L9" s="73"/>
    </row>
    <row r="10" spans="1:12" ht="22.5">
      <c r="A10" s="45" t="str">
        <f>IF(ISBLANK(DATA_ELEMENT[[#This Row],[Reference]]),TEXT(ROW(DATA_ELEMENT[[#This Row],[Reference]]),"00000")&amp;"|--",TEXT(ROW(DATA_ELEMENT[[#This Row],[ID]]),"00000")&amp;"|"&amp;DATA_ELEMENT[[#This Row],[Name]])</f>
        <v>00010|Expiration Description</v>
      </c>
      <c r="B10" s="26" t="s">
        <v>663</v>
      </c>
      <c r="C10" s="26" t="s">
        <v>631</v>
      </c>
      <c r="D10" s="27" t="s">
        <v>632</v>
      </c>
      <c r="E10" s="61" t="str">
        <f>IF(ISERROR(VLOOKUP(DATA_ELEMENT[[#This Row],[Name]],ACORD_GLOSSARY[],2,FALSE)),"--",VLOOKUP(DATA_ELEMENT[[#This Row],[Name]],ACORD_GLOSSARY[],2,FALSE))</f>
        <v>--</v>
      </c>
      <c r="F10" s="26" t="s">
        <v>64</v>
      </c>
      <c r="G10" s="27" t="s">
        <v>50</v>
      </c>
      <c r="H10" s="27">
        <v>2</v>
      </c>
      <c r="I10" s="26" t="s">
        <v>831</v>
      </c>
      <c r="J10" s="45" t="str">
        <f>IF(ISBLANK(DATA_ELEMENT[[#This Row],[Data Object ID]]),"-",IF(ISERROR(VLOOKUP(DATA_ELEMENT[[#This Row],[Data Object ID]],DATA_OBJECT[],3,FALSE)),"Not found",VLOOKUP(DATA_ELEMENT[[#This Row],[Data Object ID]],DATA_OBJECT[],3,FALSE)))</f>
        <v>Policy</v>
      </c>
      <c r="K10" s="26" t="s">
        <v>826</v>
      </c>
      <c r="L10" s="73"/>
    </row>
    <row r="11" spans="1:12" ht="22.5">
      <c r="A11" s="45" t="str">
        <f>IF(ISBLANK(DATA_ELEMENT[[#This Row],[Reference]]),TEXT(ROW(DATA_ELEMENT[[#This Row],[Reference]]),"00000")&amp;"|--",TEXT(ROW(DATA_ELEMENT[[#This Row],[ID]]),"00000")&amp;"|"&amp;DATA_ELEMENT[[#This Row],[Name]])</f>
        <v>00011|Identifier</v>
      </c>
      <c r="B11" s="26" t="s">
        <v>619</v>
      </c>
      <c r="C11" s="26" t="s">
        <v>637</v>
      </c>
      <c r="D11" s="27" t="s">
        <v>638</v>
      </c>
      <c r="E11" s="61" t="str">
        <f>IF(ISERROR(VLOOKUP(DATA_ELEMENT[[#This Row],[Name]],ACORD_GLOSSARY[],2,FALSE)),"--",VLOOKUP(DATA_ELEMENT[[#This Row],[Name]],ACORD_GLOSSARY[],2,FALSE))</f>
        <v>--</v>
      </c>
      <c r="F11" s="26" t="s">
        <v>64</v>
      </c>
      <c r="G11" s="27" t="s">
        <v>50</v>
      </c>
      <c r="H11" s="27">
        <v>2</v>
      </c>
      <c r="I11" s="26" t="s">
        <v>8767</v>
      </c>
      <c r="J11" s="45" t="str">
        <f>IF(ISBLANK(DATA_ELEMENT[[#This Row],[Data Object ID]]),"-",IF(ISERROR(VLOOKUP(DATA_ELEMENT[[#This Row],[Data Object ID]],DATA_OBJECT[],3,FALSE)),"Not found",VLOOKUP(DATA_ELEMENT[[#This Row],[Data Object ID]],DATA_OBJECT[],3,FALSE)))</f>
        <v>Coverage</v>
      </c>
      <c r="K11" s="26" t="s">
        <v>826</v>
      </c>
      <c r="L11" s="73"/>
    </row>
    <row r="12" spans="1:12" ht="22.5">
      <c r="A12" s="45" t="str">
        <f>IF(ISBLANK(DATA_ELEMENT[[#This Row],[Reference]]),TEXT(ROW(DATA_ELEMENT[[#This Row],[Reference]]),"00000")&amp;"|--",TEXT(ROW(DATA_ELEMENT[[#This Row],[ID]]),"00000")&amp;"|"&amp;DATA_ELEMENT[[#This Row],[Name]])</f>
        <v>00012|Name</v>
      </c>
      <c r="B12" s="26" t="s">
        <v>619</v>
      </c>
      <c r="C12" s="26" t="s">
        <v>23</v>
      </c>
      <c r="D12" s="27" t="s">
        <v>639</v>
      </c>
      <c r="E12" s="61" t="str">
        <f>IF(ISERROR(VLOOKUP(DATA_ELEMENT[[#This Row],[Name]],ACORD_GLOSSARY[],2,FALSE)),"--",VLOOKUP(DATA_ELEMENT[[#This Row],[Name]],ACORD_GLOSSARY[],2,FALSE))</f>
        <v>--</v>
      </c>
      <c r="F12" s="26" t="s">
        <v>64</v>
      </c>
      <c r="G12" s="27" t="s">
        <v>50</v>
      </c>
      <c r="H12" s="27">
        <v>1</v>
      </c>
      <c r="I12" s="26" t="s">
        <v>8767</v>
      </c>
      <c r="J12" s="45" t="str">
        <f>IF(ISBLANK(DATA_ELEMENT[[#This Row],[Data Object ID]]),"-",IF(ISERROR(VLOOKUP(DATA_ELEMENT[[#This Row],[Data Object ID]],DATA_OBJECT[],3,FALSE)),"Not found",VLOOKUP(DATA_ELEMENT[[#This Row],[Data Object ID]],DATA_OBJECT[],3,FALSE)))</f>
        <v>Coverage</v>
      </c>
      <c r="K12" s="26" t="s">
        <v>826</v>
      </c>
      <c r="L12" s="73"/>
    </row>
    <row r="13" spans="1:12" ht="22.5">
      <c r="A13" s="45" t="str">
        <f>IF(ISBLANK(DATA_ELEMENT[[#This Row],[Reference]]),TEXT(ROW(DATA_ELEMENT[[#This Row],[Reference]]),"00000")&amp;"|--",TEXT(ROW(DATA_ELEMENT[[#This Row],[ID]]),"00000")&amp;"|"&amp;DATA_ELEMENT[[#This Row],[Name]])</f>
        <v>00013|Description</v>
      </c>
      <c r="B13" s="26" t="s">
        <v>619</v>
      </c>
      <c r="C13" s="26" t="s">
        <v>3</v>
      </c>
      <c r="D13" s="27" t="s">
        <v>640</v>
      </c>
      <c r="E13" s="61" t="str">
        <f>IF(ISERROR(VLOOKUP(DATA_ELEMENT[[#This Row],[Name]],ACORD_GLOSSARY[],2,FALSE)),"--",VLOOKUP(DATA_ELEMENT[[#This Row],[Name]],ACORD_GLOSSARY[],2,FALSE))</f>
        <v>--</v>
      </c>
      <c r="F13" s="26" t="s">
        <v>64</v>
      </c>
      <c r="G13" s="27" t="s">
        <v>50</v>
      </c>
      <c r="H13" s="27">
        <v>2</v>
      </c>
      <c r="I13" s="26" t="s">
        <v>8767</v>
      </c>
      <c r="J13" s="45" t="str">
        <f>IF(ISBLANK(DATA_ELEMENT[[#This Row],[Data Object ID]]),"-",IF(ISERROR(VLOOKUP(DATA_ELEMENT[[#This Row],[Data Object ID]],DATA_OBJECT[],3,FALSE)),"Not found",VLOOKUP(DATA_ELEMENT[[#This Row],[Data Object ID]],DATA_OBJECT[],3,FALSE)))</f>
        <v>Coverage</v>
      </c>
      <c r="K13" s="26" t="s">
        <v>826</v>
      </c>
      <c r="L13" s="73"/>
    </row>
    <row r="14" spans="1:12" ht="45">
      <c r="A14" s="45" t="str">
        <f>IF(ISBLANK(DATA_ELEMENT[[#This Row],[Reference]]),TEXT(ROW(DATA_ELEMENT[[#This Row],[Reference]]),"00000")&amp;"|--",TEXT(ROW(DATA_ELEMENT[[#This Row],[ID]]),"00000")&amp;"|"&amp;DATA_ELEMENT[[#This Row],[Name]])</f>
        <v>00014|Number</v>
      </c>
      <c r="B14" s="26" t="s">
        <v>621</v>
      </c>
      <c r="C14" s="26" t="s">
        <v>641</v>
      </c>
      <c r="D14" s="27" t="s">
        <v>646</v>
      </c>
      <c r="E14" s="61" t="str">
        <f>IF(ISERROR(VLOOKUP(DATA_ELEMENT[[#This Row],[Name]],ACORD_GLOSSARY[],2,FALSE)),"--",VLOOKUP(DATA_ELEMENT[[#This Row],[Name]],ACORD_GLOSSARY[],2,FALSE))</f>
        <v>--</v>
      </c>
      <c r="F14" s="26" t="s">
        <v>64</v>
      </c>
      <c r="G14" s="27" t="s">
        <v>50</v>
      </c>
      <c r="H14" s="27">
        <v>4</v>
      </c>
      <c r="I14" s="26" t="s">
        <v>840</v>
      </c>
      <c r="J14" s="45" t="str">
        <f>IF(ISBLANK(DATA_ELEMENT[[#This Row],[Data Object ID]]),"-",IF(ISERROR(VLOOKUP(DATA_ELEMENT[[#This Row],[Data Object ID]],DATA_OBJECT[],3,FALSE)),"Not found",VLOOKUP(DATA_ELEMENT[[#This Row],[Data Object ID]],DATA_OBJECT[],3,FALSE)))</f>
        <v>Claim</v>
      </c>
      <c r="K14" s="26" t="s">
        <v>827</v>
      </c>
      <c r="L14" s="73"/>
    </row>
    <row r="15" spans="1:12" ht="22.5">
      <c r="A15" s="45" t="str">
        <f>IF(ISBLANK(DATA_ELEMENT[[#This Row],[Reference]]),TEXT(ROW(DATA_ELEMENT[[#This Row],[Reference]]),"00000")&amp;"|--",TEXT(ROW(DATA_ELEMENT[[#This Row],[ID]]),"00000")&amp;"|"&amp;DATA_ELEMENT[[#This Row],[Name]])</f>
        <v>00015|Claim Status Code</v>
      </c>
      <c r="B15" s="26" t="s">
        <v>621</v>
      </c>
      <c r="C15" s="26" t="s">
        <v>644</v>
      </c>
      <c r="D15" s="27" t="s">
        <v>645</v>
      </c>
      <c r="E15" s="61" t="str">
        <f>IF(ISERROR(VLOOKUP(DATA_ELEMENT[[#This Row],[Name]],ACORD_GLOSSARY[],2,FALSE)),"--",VLOOKUP(DATA_ELEMENT[[#This Row],[Name]],ACORD_GLOSSARY[],2,FALSE))</f>
        <v>--</v>
      </c>
      <c r="F15" s="26" t="s">
        <v>64</v>
      </c>
      <c r="G15" s="27" t="s">
        <v>50</v>
      </c>
      <c r="H15" s="27">
        <v>3</v>
      </c>
      <c r="I15" s="26" t="s">
        <v>840</v>
      </c>
      <c r="J15" s="45" t="str">
        <f>IF(ISBLANK(DATA_ELEMENT[[#This Row],[Data Object ID]]),"-",IF(ISERROR(VLOOKUP(DATA_ELEMENT[[#This Row],[Data Object ID]],DATA_OBJECT[],3,FALSE)),"Not found",VLOOKUP(DATA_ELEMENT[[#This Row],[Data Object ID]],DATA_OBJECT[],3,FALSE)))</f>
        <v>Claim</v>
      </c>
      <c r="K15" s="26" t="s">
        <v>827</v>
      </c>
      <c r="L15" s="73"/>
    </row>
    <row r="16" spans="1:12" ht="22.5">
      <c r="A16" s="45" t="str">
        <f>IF(ISBLANK(DATA_ELEMENT[[#This Row],[Reference]]),TEXT(ROW(DATA_ELEMENT[[#This Row],[Reference]]),"00000")&amp;"|--",TEXT(ROW(DATA_ELEMENT[[#This Row],[ID]]),"00000")&amp;"|"&amp;DATA_ELEMENT[[#This Row],[Name]])</f>
        <v>00016|Closure Date</v>
      </c>
      <c r="B16" s="26" t="s">
        <v>621</v>
      </c>
      <c r="C16" s="26" t="s">
        <v>642</v>
      </c>
      <c r="D16" s="27" t="s">
        <v>643</v>
      </c>
      <c r="E16" s="61" t="str">
        <f>IF(ISERROR(VLOOKUP(DATA_ELEMENT[[#This Row],[Name]],ACORD_GLOSSARY[],2,FALSE)),"--",VLOOKUP(DATA_ELEMENT[[#This Row],[Name]],ACORD_GLOSSARY[],2,FALSE))</f>
        <v>--</v>
      </c>
      <c r="F16" s="26" t="s">
        <v>64</v>
      </c>
      <c r="G16" s="27" t="s">
        <v>50</v>
      </c>
      <c r="H16" s="27">
        <v>3</v>
      </c>
      <c r="I16" s="26" t="s">
        <v>840</v>
      </c>
      <c r="J16" s="45" t="str">
        <f>IF(ISBLANK(DATA_ELEMENT[[#This Row],[Data Object ID]]),"-",IF(ISERROR(VLOOKUP(DATA_ELEMENT[[#This Row],[Data Object ID]],DATA_OBJECT[],3,FALSE)),"Not found",VLOOKUP(DATA_ELEMENT[[#This Row],[Data Object ID]],DATA_OBJECT[],3,FALSE)))</f>
        <v>Claim</v>
      </c>
      <c r="K16" s="26" t="s">
        <v>827</v>
      </c>
      <c r="L16" s="73"/>
    </row>
    <row r="17" spans="1:12" ht="45">
      <c r="A17" s="45" t="str">
        <f>IF(ISBLANK(DATA_ELEMENT[[#This Row],[Reference]]),TEXT(ROW(DATA_ELEMENT[[#This Row],[Reference]]),"00000")&amp;"|--",TEXT(ROW(DATA_ELEMENT[[#This Row],[ID]]),"00000")&amp;"|"&amp;DATA_ELEMENT[[#This Row],[Name]])</f>
        <v>00017|Postal Address  Postal Municipality</v>
      </c>
      <c r="B17" s="26" t="s">
        <v>8741</v>
      </c>
      <c r="C17" s="26" t="s">
        <v>6859</v>
      </c>
      <c r="D17" s="27"/>
      <c r="E17" s="61" t="str">
        <f>IF(ISERROR(VLOOKUP(DATA_ELEMENT[[#This Row],[Name]],ACORD_GLOSSARY[],2,FALSE)),"--",VLOOKUP(DATA_ELEMENT[[#This Row],[Name]],ACORD_GLOSSARY[],2,FALSE))</f>
        <v xml:space="preserve">
This represents the municipality (e.g. city, town, village, etc.) for use with a postal address.
    </v>
      </c>
      <c r="F17" s="26"/>
      <c r="G17" s="27"/>
      <c r="H17" s="27">
        <v>4</v>
      </c>
      <c r="I17" s="26"/>
      <c r="J17" s="45" t="str">
        <f>IF(ISBLANK(DATA_ELEMENT[[#This Row],[Data Object ID]]),"-",IF(ISERROR(VLOOKUP(DATA_ELEMENT[[#This Row],[Data Object ID]],DATA_OBJECT[],3,FALSE)),"Not found",VLOOKUP(DATA_ELEMENT[[#This Row],[Data Object ID]],DATA_OBJECT[],3,FALSE)))</f>
        <v>-</v>
      </c>
      <c r="K17" s="26"/>
      <c r="L17" s="73"/>
    </row>
    <row r="18" spans="1:12" ht="45">
      <c r="A18" s="45" t="str">
        <f>IF(ISBLANK(DATA_ELEMENT[[#This Row],[Reference]]),TEXT(ROW(DATA_ELEMENT[[#This Row],[Reference]]),"00000")&amp;"|--",TEXT(ROW(DATA_ELEMENT[[#This Row],[ID]]),"00000")&amp;"|"&amp;DATA_ELEMENT[[#This Row],[Name]])</f>
        <v>00018|Postal Address  Postal Post Code</v>
      </c>
      <c r="B18" s="26" t="s">
        <v>8742</v>
      </c>
      <c r="C18" s="26" t="s">
        <v>6861</v>
      </c>
      <c r="D18" s="27"/>
      <c r="E18" s="61" t="str">
        <f>IF(ISERROR(VLOOKUP(DATA_ELEMENT[[#This Row],[Name]],ACORD_GLOSSARY[],2,FALSE)),"--",VLOOKUP(DATA_ELEMENT[[#This Row],[Name]],ACORD_GLOSSARY[],2,FALSE))</f>
        <v xml:space="preserve">
This represents the post code (e.g. zip code) for use with a postal address.
    </v>
      </c>
      <c r="F18" s="26"/>
      <c r="G18" s="27"/>
      <c r="H18" s="27">
        <v>4</v>
      </c>
      <c r="I18" s="26"/>
      <c r="J18" s="45" t="str">
        <f>IF(ISBLANK(DATA_ELEMENT[[#This Row],[Data Object ID]]),"-",IF(ISERROR(VLOOKUP(DATA_ELEMENT[[#This Row],[Data Object ID]],DATA_OBJECT[],3,FALSE)),"Not found",VLOOKUP(DATA_ELEMENT[[#This Row],[Data Object ID]],DATA_OBJECT[],3,FALSE)))</f>
        <v>-</v>
      </c>
      <c r="K18" s="26"/>
      <c r="L18" s="73"/>
    </row>
    <row r="19" spans="1:12" ht="33.75">
      <c r="A19" s="45" t="str">
        <f>IF(ISBLANK(DATA_ELEMENT[[#This Row],[Reference]]),TEXT(ROW(DATA_ELEMENT[[#This Row],[Reference]]),"00000")&amp;"|--",TEXT(ROW(DATA_ELEMENT[[#This Row],[ID]]),"00000")&amp;"|"&amp;DATA_ELEMENT[[#This Row],[Name]])</f>
        <v>00019|Postal Address  Postal Country</v>
      </c>
      <c r="B19" s="26" t="s">
        <v>8743</v>
      </c>
      <c r="C19" s="26" t="s">
        <v>6855</v>
      </c>
      <c r="D19" s="27"/>
      <c r="E19" s="61" t="str">
        <f>IF(ISERROR(VLOOKUP(DATA_ELEMENT[[#This Row],[Name]],ACORD_GLOSSARY[],2,FALSE)),"--",VLOOKUP(DATA_ELEMENT[[#This Row],[Name]],ACORD_GLOSSARY[],2,FALSE))</f>
        <v xml:space="preserve">
This represents the country for use with a postal address.
    </v>
      </c>
      <c r="F19" s="26"/>
      <c r="G19" s="27"/>
      <c r="H19" s="27">
        <v>4</v>
      </c>
      <c r="I19" s="26"/>
      <c r="J19" s="45" t="str">
        <f>IF(ISBLANK(DATA_ELEMENT[[#This Row],[Data Object ID]]),"-",IF(ISERROR(VLOOKUP(DATA_ELEMENT[[#This Row],[Data Object ID]],DATA_OBJECT[],3,FALSE)),"Not found",VLOOKUP(DATA_ELEMENT[[#This Row],[Data Object ID]],DATA_OBJECT[],3,FALSE)))</f>
        <v>-</v>
      </c>
      <c r="K19" s="26"/>
      <c r="L19" s="73"/>
    </row>
    <row r="20" spans="1:12">
      <c r="A20" s="45" t="str">
        <f>IF(ISBLANK(DATA_ELEMENT[[#This Row],[Reference]]),TEXT(ROW(DATA_ELEMENT[[#This Row],[Reference]]),"00000")&amp;"|--",TEXT(ROW(DATA_ELEMENT[[#This Row],[ID]]),"00000")&amp;"|"&amp;DATA_ELEMENT[[#This Row],[Name]])</f>
        <v>00020|--</v>
      </c>
      <c r="B20" s="26"/>
      <c r="C20" s="26"/>
      <c r="D20" s="27"/>
      <c r="E20" s="61" t="str">
        <f>IF(ISERROR(VLOOKUP(DATA_ELEMENT[[#This Row],[Name]],ACORD_GLOSSARY[],2,FALSE)),"--",VLOOKUP(DATA_ELEMENT[[#This Row],[Name]],ACORD_GLOSSARY[],2,FALSE))</f>
        <v>--</v>
      </c>
      <c r="F20" s="26"/>
      <c r="G20" s="27"/>
      <c r="H20" s="27"/>
      <c r="I20" s="26"/>
      <c r="J20" s="45" t="str">
        <f>IF(ISBLANK(DATA_ELEMENT[[#This Row],[Data Object ID]]),"-",IF(ISERROR(VLOOKUP(DATA_ELEMENT[[#This Row],[Data Object ID]],DATA_OBJECT[],3,FALSE)),"Not found",VLOOKUP(DATA_ELEMENT[[#This Row],[Data Object ID]],DATA_OBJECT[],3,FALSE)))</f>
        <v>-</v>
      </c>
      <c r="K20" s="26"/>
      <c r="L20" s="73"/>
    </row>
    <row r="21" spans="1:12">
      <c r="A21" s="45" t="str">
        <f>IF(ISBLANK(DATA_ELEMENT[[#This Row],[Reference]]),TEXT(ROW(DATA_ELEMENT[[#This Row],[Reference]]),"00000")&amp;"|--",TEXT(ROW(DATA_ELEMENT[[#This Row],[ID]]),"00000")&amp;"|"&amp;DATA_ELEMENT[[#This Row],[Name]])</f>
        <v>00021|--</v>
      </c>
      <c r="B21" s="26"/>
      <c r="C21" s="26"/>
      <c r="D21" s="27"/>
      <c r="E21" s="61" t="str">
        <f>IF(ISERROR(VLOOKUP(DATA_ELEMENT[[#This Row],[Name]],ACORD_GLOSSARY[],2,FALSE)),"--",VLOOKUP(DATA_ELEMENT[[#This Row],[Name]],ACORD_GLOSSARY[],2,FALSE))</f>
        <v>--</v>
      </c>
      <c r="F21" s="26"/>
      <c r="G21" s="27"/>
      <c r="H21" s="27"/>
      <c r="I21" s="26"/>
      <c r="J21" s="45" t="str">
        <f>IF(ISBLANK(DATA_ELEMENT[[#This Row],[Data Object ID]]),"-",IF(ISERROR(VLOOKUP(DATA_ELEMENT[[#This Row],[Data Object ID]],DATA_OBJECT[],3,FALSE)),"Not found",VLOOKUP(DATA_ELEMENT[[#This Row],[Data Object ID]],DATA_OBJECT[],3,FALSE)))</f>
        <v>-</v>
      </c>
      <c r="K21" s="26"/>
      <c r="L21" s="73"/>
    </row>
    <row r="22" spans="1:12">
      <c r="A22" s="45" t="str">
        <f>IF(ISBLANK(DATA_ELEMENT[[#This Row],[Reference]]),TEXT(ROW(DATA_ELEMENT[[#This Row],[Reference]]),"00000")&amp;"|--",TEXT(ROW(DATA_ELEMENT[[#This Row],[ID]]),"00000")&amp;"|"&amp;DATA_ELEMENT[[#This Row],[Name]])</f>
        <v>00022|--</v>
      </c>
      <c r="B22" s="26"/>
      <c r="C22" s="26"/>
      <c r="D22" s="27"/>
      <c r="E22" s="61" t="str">
        <f>IF(ISERROR(VLOOKUP(DATA_ELEMENT[[#This Row],[Name]],ACORD_GLOSSARY[],2,FALSE)),"--",VLOOKUP(DATA_ELEMENT[[#This Row],[Name]],ACORD_GLOSSARY[],2,FALSE))</f>
        <v>--</v>
      </c>
      <c r="F22" s="26"/>
      <c r="G22" s="27"/>
      <c r="H22" s="27"/>
      <c r="I22" s="26"/>
      <c r="J22" s="45" t="str">
        <f>IF(ISBLANK(DATA_ELEMENT[[#This Row],[Data Object ID]]),"-",IF(ISERROR(VLOOKUP(DATA_ELEMENT[[#This Row],[Data Object ID]],DATA_OBJECT[],3,FALSE)),"Not found",VLOOKUP(DATA_ELEMENT[[#This Row],[Data Object ID]],DATA_OBJECT[],3,FALSE)))</f>
        <v>-</v>
      </c>
      <c r="K22" s="26"/>
      <c r="L22" s="73"/>
    </row>
    <row r="23" spans="1:12">
      <c r="A23" s="45" t="str">
        <f>IF(ISBLANK(DATA_ELEMENT[[#This Row],[Reference]]),TEXT(ROW(DATA_ELEMENT[[#This Row],[Reference]]),"00000")&amp;"|--",TEXT(ROW(DATA_ELEMENT[[#This Row],[ID]]),"00000")&amp;"|"&amp;DATA_ELEMENT[[#This Row],[Name]])</f>
        <v>00023|--</v>
      </c>
      <c r="B23" s="26"/>
      <c r="C23" s="26"/>
      <c r="D23" s="27"/>
      <c r="E23" s="61" t="str">
        <f>IF(ISERROR(VLOOKUP(DATA_ELEMENT[[#This Row],[Name]],ACORD_GLOSSARY[],2,FALSE)),"--",VLOOKUP(DATA_ELEMENT[[#This Row],[Name]],ACORD_GLOSSARY[],2,FALSE))</f>
        <v>--</v>
      </c>
      <c r="F23" s="26"/>
      <c r="G23" s="27"/>
      <c r="H23" s="27"/>
      <c r="I23" s="26"/>
      <c r="J23" s="45" t="str">
        <f>IF(ISBLANK(DATA_ELEMENT[[#This Row],[Data Object ID]]),"-",IF(ISERROR(VLOOKUP(DATA_ELEMENT[[#This Row],[Data Object ID]],DATA_OBJECT[],3,FALSE)),"Not found",VLOOKUP(DATA_ELEMENT[[#This Row],[Data Object ID]],DATA_OBJECT[],3,FALSE)))</f>
        <v>-</v>
      </c>
      <c r="K23" s="26"/>
      <c r="L23" s="73"/>
    </row>
    <row r="24" spans="1:12">
      <c r="A24" s="45" t="str">
        <f>IF(ISBLANK(DATA_ELEMENT[[#This Row],[Reference]]),TEXT(ROW(DATA_ELEMENT[[#This Row],[Reference]]),"00000")&amp;"|--",TEXT(ROW(DATA_ELEMENT[[#This Row],[ID]]),"00000")&amp;"|"&amp;DATA_ELEMENT[[#This Row],[Name]])</f>
        <v>00024|--</v>
      </c>
      <c r="B24" s="26"/>
      <c r="C24" s="26"/>
      <c r="D24" s="27"/>
      <c r="E24" s="61" t="str">
        <f>IF(ISERROR(VLOOKUP(DATA_ELEMENT[[#This Row],[Name]],ACORD_GLOSSARY[],2,FALSE)),"--",VLOOKUP(DATA_ELEMENT[[#This Row],[Name]],ACORD_GLOSSARY[],2,FALSE))</f>
        <v>--</v>
      </c>
      <c r="F24" s="26"/>
      <c r="G24" s="27"/>
      <c r="H24" s="27"/>
      <c r="I24" s="26"/>
      <c r="J24" s="45" t="str">
        <f>IF(ISBLANK(DATA_ELEMENT[[#This Row],[Data Object ID]]),"-",IF(ISERROR(VLOOKUP(DATA_ELEMENT[[#This Row],[Data Object ID]],DATA_OBJECT[],3,FALSE)),"Not found",VLOOKUP(DATA_ELEMENT[[#This Row],[Data Object ID]],DATA_OBJECT[],3,FALSE)))</f>
        <v>-</v>
      </c>
      <c r="K24" s="26"/>
      <c r="L24" s="73"/>
    </row>
    <row r="25" spans="1:12">
      <c r="A25" s="45" t="str">
        <f>IF(ISBLANK(DATA_ELEMENT[[#This Row],[Reference]]),TEXT(ROW(DATA_ELEMENT[[#This Row],[Reference]]),"00000")&amp;"|--",TEXT(ROW(DATA_ELEMENT[[#This Row],[ID]]),"00000")&amp;"|"&amp;DATA_ELEMENT[[#This Row],[Name]])</f>
        <v>00025|--</v>
      </c>
      <c r="B25" s="26"/>
      <c r="C25" s="26"/>
      <c r="D25" s="27"/>
      <c r="E25" s="61" t="str">
        <f>IF(ISERROR(VLOOKUP(DATA_ELEMENT[[#This Row],[Name]],ACORD_GLOSSARY[],2,FALSE)),"--",VLOOKUP(DATA_ELEMENT[[#This Row],[Name]],ACORD_GLOSSARY[],2,FALSE))</f>
        <v>--</v>
      </c>
      <c r="F25" s="26"/>
      <c r="G25" s="27"/>
      <c r="H25" s="27"/>
      <c r="I25" s="26"/>
      <c r="J25" s="45" t="str">
        <f>IF(ISBLANK(DATA_ELEMENT[[#This Row],[Data Object ID]]),"-",IF(ISERROR(VLOOKUP(DATA_ELEMENT[[#This Row],[Data Object ID]],DATA_OBJECT[],3,FALSE)),"Not found",VLOOKUP(DATA_ELEMENT[[#This Row],[Data Object ID]],DATA_OBJECT[],3,FALSE)))</f>
        <v>-</v>
      </c>
      <c r="K25" s="26"/>
      <c r="L25" s="73"/>
    </row>
    <row r="26" spans="1:12">
      <c r="A26" s="45" t="str">
        <f>IF(ISBLANK(DATA_ELEMENT[[#This Row],[Reference]]),TEXT(ROW(DATA_ELEMENT[[#This Row],[Reference]]),"00000")&amp;"|--",TEXT(ROW(DATA_ELEMENT[[#This Row],[ID]]),"00000")&amp;"|"&amp;DATA_ELEMENT[[#This Row],[Name]])</f>
        <v>00026|--</v>
      </c>
      <c r="B26" s="26"/>
      <c r="C26" s="26"/>
      <c r="D26" s="27"/>
      <c r="E26" s="61" t="str">
        <f>IF(ISERROR(VLOOKUP(DATA_ELEMENT[[#This Row],[Name]],ACORD_GLOSSARY[],2,FALSE)),"--",VLOOKUP(DATA_ELEMENT[[#This Row],[Name]],ACORD_GLOSSARY[],2,FALSE))</f>
        <v>--</v>
      </c>
      <c r="F26" s="26"/>
      <c r="G26" s="27"/>
      <c r="H26" s="27"/>
      <c r="I26" s="26"/>
      <c r="J26" s="45" t="str">
        <f>IF(ISBLANK(DATA_ELEMENT[[#This Row],[Data Object ID]]),"-",IF(ISERROR(VLOOKUP(DATA_ELEMENT[[#This Row],[Data Object ID]],DATA_OBJECT[],3,FALSE)),"Not found",VLOOKUP(DATA_ELEMENT[[#This Row],[Data Object ID]],DATA_OBJECT[],3,FALSE)))</f>
        <v>-</v>
      </c>
      <c r="K26" s="26"/>
      <c r="L26" s="73"/>
    </row>
    <row r="27" spans="1:12">
      <c r="A27" s="45" t="str">
        <f>IF(ISBLANK(DATA_ELEMENT[[#This Row],[Reference]]),TEXT(ROW(DATA_ELEMENT[[#This Row],[Reference]]),"00000")&amp;"|--",TEXT(ROW(DATA_ELEMENT[[#This Row],[ID]]),"00000")&amp;"|"&amp;DATA_ELEMENT[[#This Row],[Name]])</f>
        <v>00027|--</v>
      </c>
      <c r="B27" s="26"/>
      <c r="C27" s="26"/>
      <c r="D27" s="27"/>
      <c r="E27" s="61" t="str">
        <f>IF(ISERROR(VLOOKUP(DATA_ELEMENT[[#This Row],[Name]],ACORD_GLOSSARY[],2,FALSE)),"--",VLOOKUP(DATA_ELEMENT[[#This Row],[Name]],ACORD_GLOSSARY[],2,FALSE))</f>
        <v>--</v>
      </c>
      <c r="F27" s="26"/>
      <c r="G27" s="27"/>
      <c r="H27" s="27"/>
      <c r="I27" s="26"/>
      <c r="J27" s="45" t="str">
        <f>IF(ISBLANK(DATA_ELEMENT[[#This Row],[Data Object ID]]),"-",IF(ISERROR(VLOOKUP(DATA_ELEMENT[[#This Row],[Data Object ID]],DATA_OBJECT[],3,FALSE)),"Not found",VLOOKUP(DATA_ELEMENT[[#This Row],[Data Object ID]],DATA_OBJECT[],3,FALSE)))</f>
        <v>-</v>
      </c>
      <c r="K27" s="26"/>
      <c r="L27" s="73"/>
    </row>
    <row r="28" spans="1:12">
      <c r="A28" s="45" t="str">
        <f>IF(ISBLANK(DATA_ELEMENT[[#This Row],[Reference]]),TEXT(ROW(DATA_ELEMENT[[#This Row],[Reference]]),"00000")&amp;"|--",TEXT(ROW(DATA_ELEMENT[[#This Row],[ID]]),"00000")&amp;"|"&amp;DATA_ELEMENT[[#This Row],[Name]])</f>
        <v>00028|--</v>
      </c>
      <c r="B28" s="26"/>
      <c r="C28" s="26"/>
      <c r="D28" s="27"/>
      <c r="E28" s="61" t="str">
        <f>IF(ISERROR(VLOOKUP(DATA_ELEMENT[[#This Row],[Name]],ACORD_GLOSSARY[],2,FALSE)),"--",VLOOKUP(DATA_ELEMENT[[#This Row],[Name]],ACORD_GLOSSARY[],2,FALSE))</f>
        <v>--</v>
      </c>
      <c r="F28" s="26"/>
      <c r="G28" s="27"/>
      <c r="H28" s="27"/>
      <c r="I28" s="26"/>
      <c r="J28" s="45" t="str">
        <f>IF(ISBLANK(DATA_ELEMENT[[#This Row],[Data Object ID]]),"-",IF(ISERROR(VLOOKUP(DATA_ELEMENT[[#This Row],[Data Object ID]],DATA_OBJECT[],3,FALSE)),"Not found",VLOOKUP(DATA_ELEMENT[[#This Row],[Data Object ID]],DATA_OBJECT[],3,FALSE)))</f>
        <v>-</v>
      </c>
      <c r="K28" s="26"/>
      <c r="L28" s="73"/>
    </row>
    <row r="29" spans="1:12">
      <c r="A29" s="45" t="str">
        <f>IF(ISBLANK(DATA_ELEMENT[[#This Row],[Reference]]),TEXT(ROW(DATA_ELEMENT[[#This Row],[Reference]]),"00000")&amp;"|--",TEXT(ROW(DATA_ELEMENT[[#This Row],[ID]]),"00000")&amp;"|"&amp;DATA_ELEMENT[[#This Row],[Name]])</f>
        <v>00029|--</v>
      </c>
      <c r="B29" s="26"/>
      <c r="C29" s="26"/>
      <c r="D29" s="27"/>
      <c r="E29" s="61" t="str">
        <f>IF(ISERROR(VLOOKUP(DATA_ELEMENT[[#This Row],[Name]],ACORD_GLOSSARY[],2,FALSE)),"--",VLOOKUP(DATA_ELEMENT[[#This Row],[Name]],ACORD_GLOSSARY[],2,FALSE))</f>
        <v>--</v>
      </c>
      <c r="F29" s="26"/>
      <c r="G29" s="27"/>
      <c r="H29" s="27"/>
      <c r="I29" s="26"/>
      <c r="J29" s="45" t="str">
        <f>IF(ISBLANK(DATA_ELEMENT[[#This Row],[Data Object ID]]),"-",IF(ISERROR(VLOOKUP(DATA_ELEMENT[[#This Row],[Data Object ID]],DATA_OBJECT[],3,FALSE)),"Not found",VLOOKUP(DATA_ELEMENT[[#This Row],[Data Object ID]],DATA_OBJECT[],3,FALSE)))</f>
        <v>-</v>
      </c>
      <c r="K29" s="26"/>
      <c r="L29" s="73"/>
    </row>
    <row r="30" spans="1:12">
      <c r="A30" s="45" t="str">
        <f>IF(ISBLANK(DATA_ELEMENT[[#This Row],[Reference]]),TEXT(ROW(DATA_ELEMENT[[#This Row],[Reference]]),"00000")&amp;"|--",TEXT(ROW(DATA_ELEMENT[[#This Row],[ID]]),"00000")&amp;"|"&amp;DATA_ELEMENT[[#This Row],[Name]])</f>
        <v>00030|--</v>
      </c>
      <c r="B30" s="26"/>
      <c r="C30" s="26"/>
      <c r="D30" s="27"/>
      <c r="E30" s="61" t="str">
        <f>IF(ISERROR(VLOOKUP(DATA_ELEMENT[[#This Row],[Name]],ACORD_GLOSSARY[],2,FALSE)),"--",VLOOKUP(DATA_ELEMENT[[#This Row],[Name]],ACORD_GLOSSARY[],2,FALSE))</f>
        <v>--</v>
      </c>
      <c r="F30" s="26"/>
      <c r="G30" s="27"/>
      <c r="H30" s="27"/>
      <c r="I30" s="26"/>
      <c r="J30" s="45" t="str">
        <f>IF(ISBLANK(DATA_ELEMENT[[#This Row],[Data Object ID]]),"-",IF(ISERROR(VLOOKUP(DATA_ELEMENT[[#This Row],[Data Object ID]],DATA_OBJECT[],3,FALSE)),"Not found",VLOOKUP(DATA_ELEMENT[[#This Row],[Data Object ID]],DATA_OBJECT[],3,FALSE)))</f>
        <v>-</v>
      </c>
      <c r="K30" s="26"/>
      <c r="L30" s="73"/>
    </row>
    <row r="31" spans="1:12">
      <c r="A31" s="73"/>
      <c r="B31" s="73"/>
      <c r="C31" s="73"/>
      <c r="D31" s="73"/>
      <c r="E31" s="73"/>
      <c r="F31" s="73"/>
      <c r="G31" s="73"/>
      <c r="H31" s="73"/>
      <c r="I31" s="73"/>
      <c r="J31" s="73"/>
    </row>
    <row r="32" spans="1:12">
      <c r="J32" s="72"/>
    </row>
    <row r="33" spans="10:10">
      <c r="J33" s="72"/>
    </row>
  </sheetData>
  <sheetProtection formatRows="0" sort="0" autoFilter="0"/>
  <dataValidations count="6">
    <dataValidation type="list" errorStyle="information" allowBlank="1" showInputMessage="1" showErrorMessage="1" errorTitle="Entry not allowed" error="Please update LOVs" sqref="G4:G30" xr:uid="{00000000-0002-0000-0600-000000000000}">
      <formula1>PERCAT</formula1>
    </dataValidation>
    <dataValidation type="list" errorStyle="information" allowBlank="1" showInputMessage="1" showErrorMessage="1" errorTitle="Entry not allowed" error="Please update LOVs" sqref="F4:F30" xr:uid="{00000000-0002-0000-0600-000001000000}">
      <formula1>PERSEN</formula1>
    </dataValidation>
    <dataValidation type="list" errorStyle="information" allowBlank="1" showInputMessage="1" showErrorMessage="1" errorTitle="Entry not allowed" sqref="K4:K30" xr:uid="{67BF2904-67CE-4EB5-BBDA-3220ABF0BCD7}">
      <formula1>INDIRECT("DATA_DOMAIN[ID]")</formula1>
    </dataValidation>
    <dataValidation errorStyle="information" allowBlank="1" showInputMessage="1" showErrorMessage="1" errorTitle="Entry not allowed" error="Please update LOVs" sqref="J4:J30" xr:uid="{211EBD46-3FCA-4DBE-90F9-099523923221}"/>
    <dataValidation type="list" errorStyle="information" allowBlank="1" showInputMessage="1" showErrorMessage="1" errorTitle="Entry not allowed" sqref="I4:I30" xr:uid="{6DC489DD-3A97-4DD2-86C8-136894A8D12C}">
      <formula1>INDIRECT("DATA_OBJECT[ID]")</formula1>
    </dataValidation>
    <dataValidation type="list" errorStyle="information" allowBlank="1" showInputMessage="1" showErrorMessage="1" errorTitle="Entry not allowed" error="Please update LOVs" sqref="H4:H30" xr:uid="{3433FA92-F481-4215-A948-F1AA26164D3B}">
      <formula1>BUSCRITICAL</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18433" r:id="rId4" name="Checkbox_acord_delt">
          <controlPr defaultSize="0" autoFill="0" autoLine="0" r:id="rId5">
            <anchor moveWithCells="1">
              <from>
                <xdr:col>2</xdr:col>
                <xdr:colOff>57150</xdr:colOff>
                <xdr:row>0</xdr:row>
                <xdr:rowOff>57150</xdr:rowOff>
              </from>
              <to>
                <xdr:col>2</xdr:col>
                <xdr:colOff>1762125</xdr:colOff>
                <xdr:row>1</xdr:row>
                <xdr:rowOff>133350</xdr:rowOff>
              </to>
            </anchor>
          </controlPr>
        </control>
      </mc:Choice>
      <mc:Fallback>
        <control shapeId="18433" r:id="rId4" name="Checkbox_acord_delt"/>
      </mc:Fallback>
    </mc:AlternateContent>
  </controls>
  <tableParts count="1">
    <tablePart r:id="rId6"/>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Feuil8"/>
  <dimension ref="A1:R20"/>
  <sheetViews>
    <sheetView workbookViewId="0"/>
  </sheetViews>
  <sheetFormatPr baseColWidth="10" defaultColWidth="11.42578125" defaultRowHeight="15"/>
  <cols>
    <col min="1" max="1" width="22.28515625" bestFit="1" customWidth="1"/>
    <col min="2" max="2" width="16.7109375" bestFit="1" customWidth="1"/>
    <col min="3" max="3" width="17.140625" bestFit="1" customWidth="1"/>
    <col min="4" max="4" width="57.85546875" bestFit="1" customWidth="1"/>
    <col min="5" max="5" width="23.7109375" bestFit="1" customWidth="1"/>
    <col min="6" max="6" width="29.5703125" bestFit="1" customWidth="1"/>
    <col min="7" max="7" width="28.28515625" bestFit="1" customWidth="1"/>
    <col min="8" max="8" width="18.42578125" bestFit="1" customWidth="1"/>
    <col min="9" max="9" width="24.85546875" customWidth="1"/>
    <col min="10" max="10" width="21" customWidth="1"/>
    <col min="11" max="11" width="20.42578125" bestFit="1" customWidth="1"/>
    <col min="12" max="12" width="27.28515625" bestFit="1" customWidth="1"/>
    <col min="13" max="13" width="23.28515625" bestFit="1" customWidth="1"/>
    <col min="14" max="14" width="27.28515625" bestFit="1" customWidth="1"/>
    <col min="15" max="15" width="23.28515625" bestFit="1" customWidth="1"/>
    <col min="16" max="16" width="25.7109375" customWidth="1"/>
    <col min="17" max="17" width="23.5703125" bestFit="1" customWidth="1"/>
    <col min="18" max="18" width="32" bestFit="1" customWidth="1"/>
    <col min="19" max="19" width="27.7109375" customWidth="1"/>
    <col min="20" max="20" width="32" bestFit="1" customWidth="1"/>
    <col min="21" max="21" width="13" customWidth="1"/>
  </cols>
  <sheetData>
    <row r="1" spans="1:18">
      <c r="A1" s="2"/>
      <c r="B1" s="2"/>
      <c r="C1" s="2"/>
      <c r="D1" s="2"/>
      <c r="E1" s="2"/>
      <c r="F1" s="2"/>
      <c r="G1" s="2"/>
      <c r="H1" s="2"/>
      <c r="I1" s="2"/>
      <c r="J1" s="2"/>
      <c r="K1" s="2"/>
      <c r="L1" s="2"/>
      <c r="M1" s="2"/>
      <c r="N1" s="2"/>
      <c r="O1" s="2"/>
      <c r="P1" s="2"/>
      <c r="Q1" s="43" t="s">
        <v>820</v>
      </c>
      <c r="R1" s="2"/>
    </row>
    <row r="2" spans="1:18">
      <c r="A2" s="2"/>
      <c r="B2" s="2"/>
      <c r="C2" s="2"/>
      <c r="D2" s="2"/>
      <c r="E2" s="2"/>
      <c r="F2" s="2"/>
      <c r="G2" s="2"/>
      <c r="H2" s="2"/>
      <c r="I2" s="2"/>
      <c r="J2" s="2"/>
      <c r="K2" s="2"/>
      <c r="L2" s="2"/>
      <c r="M2" s="2"/>
      <c r="N2" s="2"/>
      <c r="O2" s="2"/>
      <c r="P2" s="2"/>
      <c r="Q2" s="2"/>
      <c r="R2" s="2"/>
    </row>
    <row r="3" spans="1:18">
      <c r="A3" s="21" t="s">
        <v>26</v>
      </c>
      <c r="B3" s="49" t="s">
        <v>22</v>
      </c>
      <c r="C3" s="49" t="s">
        <v>23</v>
      </c>
      <c r="D3" s="49" t="s">
        <v>31</v>
      </c>
      <c r="E3" s="49" t="s">
        <v>32</v>
      </c>
      <c r="F3" s="49" t="s">
        <v>33</v>
      </c>
      <c r="G3" s="49" t="s">
        <v>34</v>
      </c>
      <c r="H3" s="49" t="s">
        <v>38</v>
      </c>
      <c r="I3" s="49" t="s">
        <v>40</v>
      </c>
      <c r="J3" s="49" t="s">
        <v>39</v>
      </c>
      <c r="K3" s="49" t="s">
        <v>35</v>
      </c>
      <c r="L3" s="49" t="s">
        <v>671</v>
      </c>
      <c r="M3" s="49" t="s">
        <v>90</v>
      </c>
      <c r="N3" s="49" t="s">
        <v>36</v>
      </c>
      <c r="O3" s="49" t="s">
        <v>37</v>
      </c>
      <c r="P3" s="49" t="s">
        <v>8769</v>
      </c>
      <c r="Q3" s="21" t="s">
        <v>8770</v>
      </c>
      <c r="R3" s="49" t="s">
        <v>825</v>
      </c>
    </row>
    <row r="4" spans="1:18">
      <c r="A4" s="45" t="str">
        <f>IF(ISBLANK(DATA_PROCESSING_ACTIVITY[[#This Row],[Reference]]),TEXT(ROW(DATA_PROCESSING_ACTIVITY[[#This Row],[Reference]]),"00000")&amp;"|--",TEXT(ROW(DATA_PROCESSING_ACTIVITY[[#This Row],[ID]]),"00000")&amp;"|"&amp;DATA_PROCESSING_ACTIVITY[[#This Row],[Name]])</f>
        <v>00004|Contract Administration</v>
      </c>
      <c r="B4" s="26" t="s">
        <v>664</v>
      </c>
      <c r="C4" s="26" t="s">
        <v>647</v>
      </c>
      <c r="D4" s="27" t="s">
        <v>648</v>
      </c>
      <c r="E4" s="26" t="s">
        <v>71</v>
      </c>
      <c r="F4" s="26" t="s">
        <v>72</v>
      </c>
      <c r="G4" s="26" t="s">
        <v>24</v>
      </c>
      <c r="H4" s="26" t="s">
        <v>24</v>
      </c>
      <c r="I4" s="26" t="s">
        <v>669</v>
      </c>
      <c r="J4" s="26" t="s">
        <v>73</v>
      </c>
      <c r="K4" s="26" t="s">
        <v>24</v>
      </c>
      <c r="L4" s="26" t="s">
        <v>24</v>
      </c>
      <c r="M4" s="50"/>
      <c r="N4" s="26" t="s">
        <v>72</v>
      </c>
      <c r="O4" s="26" t="s">
        <v>24</v>
      </c>
      <c r="P4" s="26" t="s">
        <v>867</v>
      </c>
      <c r="Q4" s="45" t="str">
        <f>IF(ISERROR(VLOOKUP(DATA_PROCESSING_ACTIVITY[[#This Row],[Team ID]],TEAMS[],3,FALSE)),"--",VLOOKUP(DATA_PROCESSING_ACTIVITY[[#This Row],[Team ID]],TEAMS[],3,FALSE))</f>
        <v>--</v>
      </c>
      <c r="R4" s="26"/>
    </row>
    <row r="5" spans="1:18">
      <c r="A5" s="45" t="str">
        <f>IF(ISBLANK(DATA_PROCESSING_ACTIVITY[[#This Row],[Reference]]),TEXT(ROW(DATA_PROCESSING_ACTIVITY[[#This Row],[Reference]]),"00000")&amp;"|--",TEXT(ROW(DATA_PROCESSING_ACTIVITY[[#This Row],[ID]]),"00000")&amp;"|"&amp;DATA_PROCESSING_ACTIVITY[[#This Row],[Name]])</f>
        <v>00005|Contract Renewal</v>
      </c>
      <c r="B5" s="26" t="s">
        <v>665</v>
      </c>
      <c r="C5" s="26" t="s">
        <v>649</v>
      </c>
      <c r="D5" s="27" t="s">
        <v>650</v>
      </c>
      <c r="E5" s="26" t="s">
        <v>71</v>
      </c>
      <c r="F5" s="26" t="s">
        <v>72</v>
      </c>
      <c r="G5" s="26"/>
      <c r="H5" s="26"/>
      <c r="I5" s="26" t="s">
        <v>669</v>
      </c>
      <c r="J5" s="26" t="s">
        <v>73</v>
      </c>
      <c r="K5" s="26"/>
      <c r="L5" s="26"/>
      <c r="M5" s="50"/>
      <c r="N5" s="26" t="s">
        <v>72</v>
      </c>
      <c r="O5" s="26"/>
      <c r="P5" s="26" t="s">
        <v>867</v>
      </c>
      <c r="Q5" s="45" t="str">
        <f>IF(ISERROR(VLOOKUP(DATA_PROCESSING_ACTIVITY[[#This Row],[Team ID]],TEAMS[],3,FALSE)),"--",VLOOKUP(DATA_PROCESSING_ACTIVITY[[#This Row],[Team ID]],TEAMS[],3,FALSE))</f>
        <v>--</v>
      </c>
      <c r="R5" s="26"/>
    </row>
    <row r="6" spans="1:18">
      <c r="A6" s="45" t="str">
        <f>IF(ISBLANK(DATA_PROCESSING_ACTIVITY[[#This Row],[Reference]]),TEXT(ROW(DATA_PROCESSING_ACTIVITY[[#This Row],[Reference]]),"00000")&amp;"|--",TEXT(ROW(DATA_PROCESSING_ACTIVITY[[#This Row],[ID]]),"00000")&amp;"|"&amp;DATA_PROCESSING_ACTIVITY[[#This Row],[Name]])</f>
        <v>00006|Contract Billing</v>
      </c>
      <c r="B6" s="26" t="s">
        <v>666</v>
      </c>
      <c r="C6" s="26" t="s">
        <v>651</v>
      </c>
      <c r="D6" s="27" t="s">
        <v>652</v>
      </c>
      <c r="E6" s="26" t="s">
        <v>71</v>
      </c>
      <c r="F6" s="26" t="s">
        <v>72</v>
      </c>
      <c r="G6" s="26"/>
      <c r="H6" s="26"/>
      <c r="I6" s="26" t="s">
        <v>669</v>
      </c>
      <c r="J6" s="26" t="s">
        <v>73</v>
      </c>
      <c r="K6" s="26"/>
      <c r="L6" s="26"/>
      <c r="M6" s="50"/>
      <c r="N6" s="26" t="s">
        <v>72</v>
      </c>
      <c r="O6" s="26"/>
      <c r="P6" s="26" t="s">
        <v>867</v>
      </c>
      <c r="Q6" s="45" t="str">
        <f>IF(ISERROR(VLOOKUP(DATA_PROCESSING_ACTIVITY[[#This Row],[Team ID]],TEAMS[],3,FALSE)),"--",VLOOKUP(DATA_PROCESSING_ACTIVITY[[#This Row],[Team ID]],TEAMS[],3,FALSE))</f>
        <v>--</v>
      </c>
      <c r="R6" s="26"/>
    </row>
    <row r="7" spans="1:18" ht="33.75">
      <c r="A7" s="45" t="str">
        <f>IF(ISBLANK(DATA_PROCESSING_ACTIVITY[[#This Row],[Reference]]),TEXT(ROW(DATA_PROCESSING_ACTIVITY[[#This Row],[Reference]]),"00000")&amp;"|--",TEXT(ROW(DATA_PROCESSING_ACTIVITY[[#This Row],[ID]]),"00000")&amp;"|"&amp;DATA_PROCESSING_ACTIVITY[[#This Row],[Name]])</f>
        <v>00007|Claim Estimation</v>
      </c>
      <c r="B7" s="26" t="s">
        <v>667</v>
      </c>
      <c r="C7" s="26" t="s">
        <v>653</v>
      </c>
      <c r="D7" s="27" t="s">
        <v>654</v>
      </c>
      <c r="E7" s="26" t="s">
        <v>72</v>
      </c>
      <c r="F7" s="26" t="s">
        <v>72</v>
      </c>
      <c r="G7" s="26"/>
      <c r="H7" s="26"/>
      <c r="I7" s="26" t="s">
        <v>669</v>
      </c>
      <c r="J7" s="26" t="s">
        <v>73</v>
      </c>
      <c r="K7" s="26"/>
      <c r="L7" s="26"/>
      <c r="M7" s="50"/>
      <c r="N7" s="26" t="s">
        <v>72</v>
      </c>
      <c r="O7" s="26"/>
      <c r="P7" s="26" t="s">
        <v>866</v>
      </c>
      <c r="Q7" s="45" t="str">
        <f>IF(ISERROR(VLOOKUP(DATA_PROCESSING_ACTIVITY[[#This Row],[Team ID]],TEAMS[],3,FALSE)),"--",VLOOKUP(DATA_PROCESSING_ACTIVITY[[#This Row],[Team ID]],TEAMS[],3,FALSE))</f>
        <v>--</v>
      </c>
      <c r="R7" s="26"/>
    </row>
    <row r="8" spans="1:18" ht="22.5">
      <c r="A8" s="45" t="str">
        <f>IF(ISBLANK(DATA_PROCESSING_ACTIVITY[[#This Row],[Reference]]),TEXT(ROW(DATA_PROCESSING_ACTIVITY[[#This Row],[Reference]]),"00000")&amp;"|--",TEXT(ROW(DATA_PROCESSING_ACTIVITY[[#This Row],[ID]]),"00000")&amp;"|"&amp;DATA_PROCESSING_ACTIVITY[[#This Row],[Name]])</f>
        <v>00008|Claim Payment</v>
      </c>
      <c r="B8" s="26" t="s">
        <v>668</v>
      </c>
      <c r="C8" s="26" t="s">
        <v>655</v>
      </c>
      <c r="D8" s="27" t="s">
        <v>656</v>
      </c>
      <c r="E8" s="26" t="s">
        <v>71</v>
      </c>
      <c r="F8" s="26" t="s">
        <v>72</v>
      </c>
      <c r="G8" s="26"/>
      <c r="H8" s="26"/>
      <c r="I8" s="26" t="s">
        <v>669</v>
      </c>
      <c r="J8" s="26" t="s">
        <v>73</v>
      </c>
      <c r="K8" s="26"/>
      <c r="L8" s="26"/>
      <c r="M8" s="50"/>
      <c r="N8" s="26" t="s">
        <v>72</v>
      </c>
      <c r="O8" s="26"/>
      <c r="P8" s="26" t="s">
        <v>866</v>
      </c>
      <c r="Q8" s="45" t="str">
        <f>IF(ISERROR(VLOOKUP(DATA_PROCESSING_ACTIVITY[[#This Row],[Team ID]],TEAMS[],3,FALSE)),"--",VLOOKUP(DATA_PROCESSING_ACTIVITY[[#This Row],[Team ID]],TEAMS[],3,FALSE))</f>
        <v>--</v>
      </c>
      <c r="R8" s="26"/>
    </row>
    <row r="9" spans="1:18">
      <c r="A9" s="45" t="str">
        <f>IF(ISBLANK(DATA_PROCESSING_ACTIVITY[[#This Row],[Reference]]),TEXT(ROW(DATA_PROCESSING_ACTIVITY[[#This Row],[Reference]]),"00000")&amp;"|--",TEXT(ROW(DATA_PROCESSING_ACTIVITY[[#This Row],[ID]]),"00000")&amp;"|"&amp;DATA_PROCESSING_ACTIVITY[[#This Row],[Name]])</f>
        <v>00009|--</v>
      </c>
      <c r="B9" s="26"/>
      <c r="C9" s="26"/>
      <c r="D9" s="27"/>
      <c r="E9" s="26"/>
      <c r="F9" s="26"/>
      <c r="G9" s="26"/>
      <c r="H9" s="26"/>
      <c r="I9" s="26"/>
      <c r="J9" s="26"/>
      <c r="K9" s="26"/>
      <c r="L9" s="26"/>
      <c r="M9" s="50"/>
      <c r="N9" s="26"/>
      <c r="O9" s="26"/>
      <c r="P9" s="26"/>
      <c r="Q9" s="45" t="str">
        <f>IF(ISERROR(VLOOKUP(DATA_PROCESSING_ACTIVITY[[#This Row],[Team ID]],TEAMS[],3,FALSE)),"--",VLOOKUP(DATA_PROCESSING_ACTIVITY[[#This Row],[Team ID]],TEAMS[],3,FALSE))</f>
        <v>--</v>
      </c>
      <c r="R9" s="26"/>
    </row>
    <row r="10" spans="1:18">
      <c r="A10" s="45" t="str">
        <f>IF(ISBLANK(DATA_PROCESSING_ACTIVITY[[#This Row],[Reference]]),TEXT(ROW(DATA_PROCESSING_ACTIVITY[[#This Row],[Reference]]),"00000")&amp;"|--",TEXT(ROW(DATA_PROCESSING_ACTIVITY[[#This Row],[ID]]),"00000")&amp;"|"&amp;DATA_PROCESSING_ACTIVITY[[#This Row],[Name]])</f>
        <v>00010|--</v>
      </c>
      <c r="B10" s="26"/>
      <c r="C10" s="26"/>
      <c r="D10" s="27"/>
      <c r="E10" s="26"/>
      <c r="F10" s="26"/>
      <c r="G10" s="26"/>
      <c r="H10" s="26"/>
      <c r="I10" s="26"/>
      <c r="J10" s="26"/>
      <c r="K10" s="26"/>
      <c r="L10" s="26"/>
      <c r="M10" s="50"/>
      <c r="N10" s="26"/>
      <c r="O10" s="26"/>
      <c r="P10" s="26"/>
      <c r="Q10" s="45" t="str">
        <f>IF(ISERROR(VLOOKUP(DATA_PROCESSING_ACTIVITY[[#This Row],[Team ID]],TEAMS[],3,FALSE)),"--",VLOOKUP(DATA_PROCESSING_ACTIVITY[[#This Row],[Team ID]],TEAMS[],3,FALSE))</f>
        <v>--</v>
      </c>
      <c r="R10" s="26"/>
    </row>
    <row r="11" spans="1:18">
      <c r="A11" s="45" t="str">
        <f>IF(ISBLANK(DATA_PROCESSING_ACTIVITY[[#This Row],[Reference]]),TEXT(ROW(DATA_PROCESSING_ACTIVITY[[#This Row],[Reference]]),"00000")&amp;"|--",TEXT(ROW(DATA_PROCESSING_ACTIVITY[[#This Row],[ID]]),"00000")&amp;"|"&amp;DATA_PROCESSING_ACTIVITY[[#This Row],[Name]])</f>
        <v>00011|--</v>
      </c>
      <c r="B11" s="26"/>
      <c r="C11" s="26"/>
      <c r="D11" s="27"/>
      <c r="E11" s="26"/>
      <c r="F11" s="26"/>
      <c r="G11" s="26"/>
      <c r="H11" s="26"/>
      <c r="I11" s="26"/>
      <c r="J11" s="26"/>
      <c r="K11" s="26"/>
      <c r="L11" s="26"/>
      <c r="M11" s="50"/>
      <c r="N11" s="26"/>
      <c r="O11" s="26"/>
      <c r="P11" s="26"/>
      <c r="Q11" s="45" t="str">
        <f>IF(ISERROR(VLOOKUP(DATA_PROCESSING_ACTIVITY[[#This Row],[Team ID]],TEAMS[],3,FALSE)),"--",VLOOKUP(DATA_PROCESSING_ACTIVITY[[#This Row],[Team ID]],TEAMS[],3,FALSE))</f>
        <v>--</v>
      </c>
      <c r="R11" s="26"/>
    </row>
    <row r="12" spans="1:18">
      <c r="A12" s="45" t="str">
        <f>IF(ISBLANK(DATA_PROCESSING_ACTIVITY[[#This Row],[Reference]]),TEXT(ROW(DATA_PROCESSING_ACTIVITY[[#This Row],[Reference]]),"00000")&amp;"|--",TEXT(ROW(DATA_PROCESSING_ACTIVITY[[#This Row],[ID]]),"00000")&amp;"|"&amp;DATA_PROCESSING_ACTIVITY[[#This Row],[Name]])</f>
        <v>00012|--</v>
      </c>
      <c r="B12" s="26"/>
      <c r="C12" s="26"/>
      <c r="D12" s="27"/>
      <c r="E12" s="26"/>
      <c r="F12" s="26"/>
      <c r="G12" s="26"/>
      <c r="H12" s="26"/>
      <c r="I12" s="26"/>
      <c r="J12" s="26"/>
      <c r="K12" s="26"/>
      <c r="L12" s="26"/>
      <c r="M12" s="50"/>
      <c r="N12" s="26"/>
      <c r="O12" s="26"/>
      <c r="P12" s="26"/>
      <c r="Q12" s="45" t="str">
        <f>IF(ISERROR(VLOOKUP(DATA_PROCESSING_ACTIVITY[[#This Row],[Team ID]],TEAMS[],3,FALSE)),"--",VLOOKUP(DATA_PROCESSING_ACTIVITY[[#This Row],[Team ID]],TEAMS[],3,FALSE))</f>
        <v>--</v>
      </c>
      <c r="R12" s="26"/>
    </row>
    <row r="13" spans="1:18">
      <c r="A13" s="45" t="str">
        <f>IF(ISBLANK(DATA_PROCESSING_ACTIVITY[[#This Row],[Reference]]),TEXT(ROW(DATA_PROCESSING_ACTIVITY[[#This Row],[Reference]]),"00000")&amp;"|--",TEXT(ROW(DATA_PROCESSING_ACTIVITY[[#This Row],[ID]]),"00000")&amp;"|"&amp;DATA_PROCESSING_ACTIVITY[[#This Row],[Name]])</f>
        <v>00013|--</v>
      </c>
      <c r="B13" s="26"/>
      <c r="C13" s="26"/>
      <c r="D13" s="27"/>
      <c r="E13" s="26"/>
      <c r="F13" s="26"/>
      <c r="G13" s="26"/>
      <c r="H13" s="26"/>
      <c r="I13" s="26"/>
      <c r="J13" s="26"/>
      <c r="K13" s="26"/>
      <c r="L13" s="26"/>
      <c r="M13" s="50"/>
      <c r="N13" s="26"/>
      <c r="O13" s="26"/>
      <c r="P13" s="26"/>
      <c r="Q13" s="45" t="str">
        <f>IF(ISERROR(VLOOKUP(DATA_PROCESSING_ACTIVITY[[#This Row],[Team ID]],TEAMS[],3,FALSE)),"--",VLOOKUP(DATA_PROCESSING_ACTIVITY[[#This Row],[Team ID]],TEAMS[],3,FALSE))</f>
        <v>--</v>
      </c>
      <c r="R13" s="26"/>
    </row>
    <row r="14" spans="1:18">
      <c r="A14" s="45" t="str">
        <f>IF(ISBLANK(DATA_PROCESSING_ACTIVITY[[#This Row],[Reference]]),TEXT(ROW(DATA_PROCESSING_ACTIVITY[[#This Row],[Reference]]),"00000")&amp;"|--",TEXT(ROW(DATA_PROCESSING_ACTIVITY[[#This Row],[ID]]),"00000")&amp;"|"&amp;DATA_PROCESSING_ACTIVITY[[#This Row],[Name]])</f>
        <v>00014|--</v>
      </c>
      <c r="B14" s="26"/>
      <c r="C14" s="26"/>
      <c r="D14" s="27"/>
      <c r="E14" s="26"/>
      <c r="F14" s="26"/>
      <c r="G14" s="26"/>
      <c r="H14" s="26"/>
      <c r="I14" s="26"/>
      <c r="J14" s="26"/>
      <c r="K14" s="26"/>
      <c r="L14" s="26"/>
      <c r="M14" s="50"/>
      <c r="N14" s="26"/>
      <c r="O14" s="26"/>
      <c r="P14" s="26"/>
      <c r="Q14" s="45" t="str">
        <f>IF(ISERROR(VLOOKUP(DATA_PROCESSING_ACTIVITY[[#This Row],[Team ID]],TEAMS[],3,FALSE)),"--",VLOOKUP(DATA_PROCESSING_ACTIVITY[[#This Row],[Team ID]],TEAMS[],3,FALSE))</f>
        <v>--</v>
      </c>
      <c r="R14" s="26"/>
    </row>
    <row r="15" spans="1:18">
      <c r="A15" s="45" t="str">
        <f>IF(ISBLANK(DATA_PROCESSING_ACTIVITY[[#This Row],[Reference]]),TEXT(ROW(DATA_PROCESSING_ACTIVITY[[#This Row],[Reference]]),"00000")&amp;"|--",TEXT(ROW(DATA_PROCESSING_ACTIVITY[[#This Row],[ID]]),"00000")&amp;"|"&amp;DATA_PROCESSING_ACTIVITY[[#This Row],[Name]])</f>
        <v>00015|--</v>
      </c>
      <c r="B15" s="26"/>
      <c r="C15" s="26"/>
      <c r="D15" s="27"/>
      <c r="E15" s="26"/>
      <c r="F15" s="26"/>
      <c r="G15" s="26"/>
      <c r="H15" s="26"/>
      <c r="I15" s="26"/>
      <c r="J15" s="26"/>
      <c r="K15" s="26"/>
      <c r="L15" s="26"/>
      <c r="M15" s="50"/>
      <c r="N15" s="26"/>
      <c r="O15" s="26"/>
      <c r="P15" s="26"/>
      <c r="Q15" s="45" t="str">
        <f>IF(ISERROR(VLOOKUP(DATA_PROCESSING_ACTIVITY[[#This Row],[Team ID]],TEAMS[],3,FALSE)),"--",VLOOKUP(DATA_PROCESSING_ACTIVITY[[#This Row],[Team ID]],TEAMS[],3,FALSE))</f>
        <v>--</v>
      </c>
      <c r="R15" s="26"/>
    </row>
    <row r="16" spans="1:18">
      <c r="A16" s="45" t="str">
        <f>IF(ISBLANK(DATA_PROCESSING_ACTIVITY[[#This Row],[Reference]]),TEXT(ROW(DATA_PROCESSING_ACTIVITY[[#This Row],[Reference]]),"00000")&amp;"|--",TEXT(ROW(DATA_PROCESSING_ACTIVITY[[#This Row],[ID]]),"00000")&amp;"|"&amp;DATA_PROCESSING_ACTIVITY[[#This Row],[Name]])</f>
        <v>00016|--</v>
      </c>
      <c r="B16" s="26"/>
      <c r="C16" s="26"/>
      <c r="D16" s="27"/>
      <c r="E16" s="26"/>
      <c r="F16" s="26"/>
      <c r="G16" s="26"/>
      <c r="H16" s="26"/>
      <c r="I16" s="26"/>
      <c r="J16" s="26"/>
      <c r="K16" s="26"/>
      <c r="L16" s="26"/>
      <c r="M16" s="50"/>
      <c r="N16" s="26"/>
      <c r="O16" s="26"/>
      <c r="P16" s="26"/>
      <c r="Q16" s="45" t="str">
        <f>IF(ISERROR(VLOOKUP(DATA_PROCESSING_ACTIVITY[[#This Row],[Team ID]],TEAMS[],3,FALSE)),"--",VLOOKUP(DATA_PROCESSING_ACTIVITY[[#This Row],[Team ID]],TEAMS[],3,FALSE))</f>
        <v>--</v>
      </c>
      <c r="R16" s="26"/>
    </row>
    <row r="17" spans="1:18">
      <c r="A17" s="45" t="str">
        <f>IF(ISBLANK(DATA_PROCESSING_ACTIVITY[[#This Row],[Reference]]),TEXT(ROW(DATA_PROCESSING_ACTIVITY[[#This Row],[Reference]]),"00000")&amp;"|--",TEXT(ROW(DATA_PROCESSING_ACTIVITY[[#This Row],[ID]]),"00000")&amp;"|"&amp;DATA_PROCESSING_ACTIVITY[[#This Row],[Name]])</f>
        <v>00017|--</v>
      </c>
      <c r="B17" s="26"/>
      <c r="C17" s="26"/>
      <c r="D17" s="27"/>
      <c r="E17" s="26"/>
      <c r="F17" s="26"/>
      <c r="G17" s="26"/>
      <c r="H17" s="26"/>
      <c r="I17" s="26"/>
      <c r="J17" s="26"/>
      <c r="K17" s="26"/>
      <c r="L17" s="26"/>
      <c r="M17" s="50"/>
      <c r="N17" s="26"/>
      <c r="O17" s="26"/>
      <c r="P17" s="26"/>
      <c r="Q17" s="45" t="str">
        <f>IF(ISERROR(VLOOKUP(DATA_PROCESSING_ACTIVITY[[#This Row],[Team ID]],TEAMS[],3,FALSE)),"--",VLOOKUP(DATA_PROCESSING_ACTIVITY[[#This Row],[Team ID]],TEAMS[],3,FALSE))</f>
        <v>--</v>
      </c>
      <c r="R17" s="26"/>
    </row>
    <row r="18" spans="1:18">
      <c r="A18" s="45" t="str">
        <f>IF(ISBLANK(DATA_PROCESSING_ACTIVITY[[#This Row],[Reference]]),TEXT(ROW(DATA_PROCESSING_ACTIVITY[[#This Row],[Reference]]),"00000")&amp;"|--",TEXT(ROW(DATA_PROCESSING_ACTIVITY[[#This Row],[ID]]),"00000")&amp;"|"&amp;DATA_PROCESSING_ACTIVITY[[#This Row],[Name]])</f>
        <v>00018|--</v>
      </c>
      <c r="B18" s="26"/>
      <c r="C18" s="26"/>
      <c r="D18" s="27"/>
      <c r="E18" s="26"/>
      <c r="F18" s="26"/>
      <c r="G18" s="26"/>
      <c r="H18" s="26"/>
      <c r="I18" s="26"/>
      <c r="J18" s="26"/>
      <c r="K18" s="26"/>
      <c r="L18" s="26"/>
      <c r="M18" s="50"/>
      <c r="N18" s="26"/>
      <c r="O18" s="26"/>
      <c r="P18" s="26"/>
      <c r="Q18" s="45" t="str">
        <f>IF(ISERROR(VLOOKUP(DATA_PROCESSING_ACTIVITY[[#This Row],[Team ID]],TEAMS[],3,FALSE)),"--",VLOOKUP(DATA_PROCESSING_ACTIVITY[[#This Row],[Team ID]],TEAMS[],3,FALSE))</f>
        <v>--</v>
      </c>
      <c r="R18" s="26"/>
    </row>
    <row r="19" spans="1:18">
      <c r="A19" s="45" t="str">
        <f>IF(ISBLANK(DATA_PROCESSING_ACTIVITY[[#This Row],[Reference]]),TEXT(ROW(DATA_PROCESSING_ACTIVITY[[#This Row],[Reference]]),"00000")&amp;"|--",TEXT(ROW(DATA_PROCESSING_ACTIVITY[[#This Row],[ID]]),"00000")&amp;"|"&amp;DATA_PROCESSING_ACTIVITY[[#This Row],[Name]])</f>
        <v>00019|--</v>
      </c>
      <c r="B19" s="26"/>
      <c r="C19" s="26"/>
      <c r="D19" s="27"/>
      <c r="E19" s="26"/>
      <c r="F19" s="26"/>
      <c r="G19" s="26"/>
      <c r="H19" s="26"/>
      <c r="I19" s="26"/>
      <c r="J19" s="26"/>
      <c r="K19" s="26"/>
      <c r="L19" s="26"/>
      <c r="M19" s="50"/>
      <c r="N19" s="26"/>
      <c r="O19" s="26"/>
      <c r="P19" s="26"/>
      <c r="Q19" s="45" t="str">
        <f>IF(ISERROR(VLOOKUP(DATA_PROCESSING_ACTIVITY[[#This Row],[Team ID]],TEAMS[],3,FALSE)),"--",VLOOKUP(DATA_PROCESSING_ACTIVITY[[#This Row],[Team ID]],TEAMS[],3,FALSE))</f>
        <v>--</v>
      </c>
      <c r="R19" s="26"/>
    </row>
    <row r="20" spans="1:18">
      <c r="A20" s="45" t="str">
        <f>IF(ISBLANK(DATA_PROCESSING_ACTIVITY[[#This Row],[Reference]]),TEXT(ROW(DATA_PROCESSING_ACTIVITY[[#This Row],[Reference]]),"00000")&amp;"|--",TEXT(ROW(DATA_PROCESSING_ACTIVITY[[#This Row],[ID]]),"00000")&amp;"|"&amp;DATA_PROCESSING_ACTIVITY[[#This Row],[Name]])</f>
        <v>00020|--</v>
      </c>
      <c r="B20" s="26"/>
      <c r="C20" s="26"/>
      <c r="D20" s="27"/>
      <c r="E20" s="26"/>
      <c r="F20" s="26"/>
      <c r="G20" s="26"/>
      <c r="H20" s="26"/>
      <c r="I20" s="26"/>
      <c r="J20" s="26"/>
      <c r="K20" s="26"/>
      <c r="L20" s="26"/>
      <c r="M20" s="50"/>
      <c r="N20" s="26"/>
      <c r="O20" s="26"/>
      <c r="P20" s="26"/>
      <c r="Q20" s="45" t="str">
        <f>IF(ISERROR(VLOOKUP(DATA_PROCESSING_ACTIVITY[[#This Row],[Team ID]],TEAMS[],3,FALSE)),"--",VLOOKUP(DATA_PROCESSING_ACTIVITY[[#This Row],[Team ID]],TEAMS[],3,FALSE))</f>
        <v>--</v>
      </c>
      <c r="R20" s="26"/>
    </row>
  </sheetData>
  <sheetProtection sheet="1" sort="0" autoFilter="0"/>
  <dataValidations count="5">
    <dataValidation type="list" errorStyle="information" allowBlank="1" showInputMessage="1" showErrorMessage="1" errorTitle="Entry not allowed" error="Please update LOVs" sqref="N4:N20 F4:F20 E4:E20" xr:uid="{00000000-0002-0000-0700-000000000000}">
      <formula1>BOOLEAN</formula1>
    </dataValidation>
    <dataValidation type="list" errorStyle="information" allowBlank="1" showInputMessage="1" showErrorMessage="1" errorTitle="Entry not allowed" error="Please update LOVs" sqref="I4:I20" xr:uid="{00000000-0002-0000-0700-000001000000}">
      <formula1>ILGENT</formula1>
    </dataValidation>
    <dataValidation type="list" errorStyle="information" allowBlank="1" showInputMessage="1" showErrorMessage="1" errorTitle="Entry not allowed" error="Please update LOVs" sqref="J4:J20" xr:uid="{00000000-0002-0000-0700-000002000000}">
      <formula1>ILGRLE</formula1>
    </dataValidation>
    <dataValidation type="list" allowBlank="1" showInputMessage="1" showErrorMessage="1" sqref="R4:R20" xr:uid="{5014309F-E14C-43BA-892E-0C0C3F54FB47}">
      <formula1>INDIRECT("DATA_DOMAIN[ID]")</formula1>
    </dataValidation>
    <dataValidation type="list" allowBlank="1" showInputMessage="1" showErrorMessage="1" sqref="P4:P20" xr:uid="{47E9F17E-5B0A-4F26-8CBB-89E78394D27D}">
      <formula1>INDIRECT("TEAMS[ID]")</formula1>
    </dataValidation>
  </dataValidations>
  <pageMargins left="0.7" right="0.7" top="0.75" bottom="0.75" header="0.3" footer="0.3"/>
  <pageSetup paperSize="9" orientation="portrait" r:id="rId1"/>
  <drawing r:id="rId2"/>
  <tableParts count="1">
    <tablePart r:id="rId3"/>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Feuil9"/>
  <dimension ref="A1:I10"/>
  <sheetViews>
    <sheetView zoomScaleNormal="100" workbookViewId="0">
      <selection activeCell="B7" sqref="B7"/>
    </sheetView>
  </sheetViews>
  <sheetFormatPr baseColWidth="10" defaultColWidth="11.42578125" defaultRowHeight="15"/>
  <cols>
    <col min="1" max="1" width="41" bestFit="1" customWidth="1"/>
    <col min="2" max="2" width="17.5703125" customWidth="1"/>
    <col min="3" max="3" width="27.5703125" customWidth="1"/>
    <col min="4" max="4" width="22.85546875" customWidth="1"/>
    <col min="5" max="5" width="28.28515625" bestFit="1" customWidth="1"/>
    <col min="6" max="6" width="31.85546875" customWidth="1"/>
    <col min="7" max="7" width="36.140625" customWidth="1"/>
    <col min="8" max="8" width="25.7109375" customWidth="1"/>
    <col min="9" max="9" width="32.85546875" bestFit="1" customWidth="1"/>
    <col min="10" max="10" width="14" customWidth="1"/>
    <col min="11" max="11" width="13.42578125" customWidth="1"/>
    <col min="12" max="12" width="11.42578125" customWidth="1"/>
  </cols>
  <sheetData>
    <row r="1" spans="1:9">
      <c r="A1" s="2"/>
      <c r="B1" s="2"/>
      <c r="C1" s="2"/>
      <c r="D1" s="2"/>
      <c r="E1" s="2"/>
      <c r="F1" s="2"/>
      <c r="G1" s="2"/>
      <c r="H1" s="2"/>
      <c r="I1" s="2"/>
    </row>
    <row r="2" spans="1:9">
      <c r="A2" s="2"/>
      <c r="B2" s="2"/>
      <c r="C2" s="2"/>
      <c r="D2" s="2"/>
      <c r="E2" s="2"/>
      <c r="F2" s="2"/>
      <c r="G2" s="2"/>
      <c r="H2" s="2"/>
      <c r="I2" s="2"/>
    </row>
    <row r="3" spans="1:9">
      <c r="A3" s="22" t="s">
        <v>26</v>
      </c>
      <c r="B3" s="39" t="s">
        <v>22</v>
      </c>
      <c r="C3" s="39" t="s">
        <v>753</v>
      </c>
      <c r="D3" s="39" t="s">
        <v>80</v>
      </c>
      <c r="E3" s="39" t="s">
        <v>79</v>
      </c>
      <c r="F3" s="39" t="s">
        <v>81</v>
      </c>
      <c r="G3" s="39" t="s">
        <v>76</v>
      </c>
      <c r="H3" s="39" t="s">
        <v>77</v>
      </c>
      <c r="I3" s="39" t="s">
        <v>78</v>
      </c>
    </row>
    <row r="4" spans="1:9">
      <c r="A4" s="45" t="str">
        <f>IF(OR(ISBLANK(DATA_RCP[[#This Row],[Data Processing Activity - ID]]),ISBLANK(DATA_RCP[[#This Row],[Recipient]])),TEXT(ROW(DATA_RCP[[#This Row],[Reference]]),"00000")&amp;"|--",TEXT(ROW(DATA_RCP[[#This Row],[ID]]),"00000")&amp;"|"&amp;DATA_RCP[[#This Row],[Data Processing Activity - ID]]&amp;"|"&amp;DATA_RCP[[#This Row],[Recipient]])</f>
        <v>00004|00006|Contract Billing|Finance BU</v>
      </c>
      <c r="B4" s="39" t="s">
        <v>674</v>
      </c>
      <c r="C4" s="39" t="s">
        <v>828</v>
      </c>
      <c r="D4" s="39" t="s">
        <v>672</v>
      </c>
      <c r="E4" s="39" t="s">
        <v>85</v>
      </c>
      <c r="F4" s="39" t="s">
        <v>24</v>
      </c>
      <c r="G4" s="39"/>
      <c r="H4" s="39" t="s">
        <v>72</v>
      </c>
      <c r="I4" s="39"/>
    </row>
    <row r="5" spans="1:9">
      <c r="A5" s="46" t="str">
        <f>IF(OR(ISBLANK(DATA_RCP[[#This Row],[Data Processing Activity - ID]]),ISBLANK(DATA_RCP[[#This Row],[Recipient]])),TEXT(ROW(DATA_RCP[[#This Row],[Reference]]),"00000")&amp;"|--",TEXT(ROW(DATA_RCP[[#This Row],[ID]]),"00000")&amp;"|"&amp;DATA_RCP[[#This Row],[Data Processing Activity - ID]]&amp;"|"&amp;DATA_RCP[[#This Row],[Recipient]])</f>
        <v xml:space="preserve">00005|00006|Contract Billing|Rogers Capital </v>
      </c>
      <c r="B5" s="39" t="s">
        <v>678</v>
      </c>
      <c r="C5" s="39" t="s">
        <v>828</v>
      </c>
      <c r="D5" s="39" t="s">
        <v>673</v>
      </c>
      <c r="E5" s="39" t="s">
        <v>84</v>
      </c>
      <c r="F5" s="39"/>
      <c r="G5" s="39" t="s">
        <v>677</v>
      </c>
      <c r="H5" s="39" t="s">
        <v>71</v>
      </c>
      <c r="I5" s="39" t="s">
        <v>8775</v>
      </c>
    </row>
    <row r="6" spans="1:9">
      <c r="A6" s="46" t="str">
        <f>IF(OR(ISBLANK(DATA_RCP[[#This Row],[Data Processing Activity - ID]]),ISBLANK(DATA_RCP[[#This Row],[Recipient]])),TEXT(ROW(DATA_RCP[[#This Row],[Reference]]),"00000")&amp;"|--",TEXT(ROW(DATA_RCP[[#This Row],[ID]]),"00000")&amp;"|"&amp;DATA_RCP[[#This Row],[Data Processing Activity - ID]]&amp;"|"&amp;DATA_RCP[[#This Row],[Recipient]])</f>
        <v>00006|00009|Claim Payment|Insurance Billing Outsourcing</v>
      </c>
      <c r="B6" s="39" t="s">
        <v>679</v>
      </c>
      <c r="C6" s="39" t="s">
        <v>829</v>
      </c>
      <c r="D6" s="39" t="s">
        <v>675</v>
      </c>
      <c r="E6" s="39" t="s">
        <v>84</v>
      </c>
      <c r="F6" s="39"/>
      <c r="G6" s="39" t="s">
        <v>676</v>
      </c>
      <c r="H6" s="39" t="s">
        <v>71</v>
      </c>
      <c r="I6" s="39" t="s">
        <v>830</v>
      </c>
    </row>
    <row r="7" spans="1:9">
      <c r="A7" s="46" t="str">
        <f>IF(OR(ISBLANK(DATA_RCP[[#This Row],[Data Processing Activity - ID]]),ISBLANK(DATA_RCP[[#This Row],[Recipient]])),TEXT(ROW(DATA_RCP[[#This Row],[Reference]]),"00000")&amp;"|--",TEXT(ROW(DATA_RCP[[#This Row],[ID]]),"00000")&amp;"|"&amp;DATA_RCP[[#This Row],[Data Processing Activity - ID]]&amp;"|"&amp;DATA_RCP[[#This Row],[Recipient]])</f>
        <v>00007|--</v>
      </c>
      <c r="B7" s="39"/>
      <c r="C7" s="39"/>
      <c r="D7" s="39"/>
      <c r="E7" s="39"/>
      <c r="F7" s="39"/>
      <c r="G7" s="39"/>
      <c r="H7" s="39" t="s">
        <v>24</v>
      </c>
      <c r="I7" s="39" t="s">
        <v>24</v>
      </c>
    </row>
    <row r="8" spans="1:9">
      <c r="A8" s="44" t="str">
        <f>IF(OR(ISBLANK(DATA_RCP[[#This Row],[Data Processing Activity - ID]]),ISBLANK(DATA_RCP[[#This Row],[Recipient]])),TEXT(ROW(DATA_RCP[[#This Row],[Reference]]),"00000")&amp;"|--",TEXT(ROW(DATA_RCP[[#This Row],[ID]]),"00000")&amp;"|"&amp;DATA_RCP[[#This Row],[Data Processing Activity - ID]]&amp;"|"&amp;DATA_RCP[[#This Row],[Recipient]])</f>
        <v>00008|--</v>
      </c>
      <c r="B8" s="39"/>
      <c r="C8" s="39"/>
      <c r="D8" s="39"/>
      <c r="E8" s="39"/>
      <c r="F8" s="39"/>
      <c r="G8" s="39"/>
      <c r="H8" s="39"/>
      <c r="I8" s="39"/>
    </row>
    <row r="9" spans="1:9">
      <c r="A9" s="44" t="str">
        <f>IF(OR(ISBLANK(DATA_RCP[[#This Row],[Data Processing Activity - ID]]),ISBLANK(DATA_RCP[[#This Row],[Recipient]])),TEXT(ROW(DATA_RCP[[#This Row],[Reference]]),"00000")&amp;"|--",TEXT(ROW(DATA_RCP[[#This Row],[ID]]),"00000")&amp;"|"&amp;DATA_RCP[[#This Row],[Data Processing Activity - ID]]&amp;"|"&amp;DATA_RCP[[#This Row],[Recipient]])</f>
        <v>00009|--</v>
      </c>
      <c r="B9" s="39"/>
      <c r="C9" s="39"/>
      <c r="D9" s="39"/>
      <c r="E9" s="39"/>
      <c r="F9" s="39"/>
      <c r="G9" s="39"/>
      <c r="H9" s="39"/>
      <c r="I9" s="39"/>
    </row>
    <row r="10" spans="1:9">
      <c r="A10" s="44" t="str">
        <f>IF(OR(ISBLANK(DATA_RCP[[#This Row],[Data Processing Activity - ID]]),ISBLANK(DATA_RCP[[#This Row],[Recipient]])),TEXT(ROW(DATA_RCP[[#This Row],[Reference]]),"00000")&amp;"|--",TEXT(ROW(DATA_RCP[[#This Row],[ID]]),"00000")&amp;"|"&amp;DATA_RCP[[#This Row],[Data Processing Activity - ID]]&amp;"|"&amp;DATA_RCP[[#This Row],[Recipient]])</f>
        <v>00010|--</v>
      </c>
      <c r="B10" s="39"/>
      <c r="C10" s="39"/>
      <c r="D10" s="39"/>
      <c r="E10" s="39"/>
      <c r="F10" s="39"/>
      <c r="G10" s="39"/>
      <c r="H10" s="39"/>
      <c r="I10" s="39"/>
    </row>
  </sheetData>
  <sheetProtection sheet="1" objects="1" scenarios="1" sort="0" autoFilter="0"/>
  <dataValidations count="4">
    <dataValidation type="list" errorStyle="information" allowBlank="1" showInputMessage="1" showErrorMessage="1" errorTitle="Entry not allowed" error="Please update LOVs" sqref="H4:H10" xr:uid="{00000000-0002-0000-0800-000000000000}">
      <formula1>BOOLEAN</formula1>
    </dataValidation>
    <dataValidation type="list" errorStyle="information" allowBlank="1" showInputMessage="1" showErrorMessage="1" errorTitle="Entry not allowed" error="Please update LOVs" sqref="E4:E10" xr:uid="{00000000-0002-0000-0800-000001000000}">
      <formula1>DPAREC</formula1>
    </dataValidation>
    <dataValidation type="list" errorStyle="information" allowBlank="1" showInputMessage="1" showErrorMessage="1" errorTitle="Entry not allowed" error="Please update LOVs" sqref="F4:F10" xr:uid="{00000000-0002-0000-0800-000002000000}">
      <formula1>DPATLB</formula1>
    </dataValidation>
    <dataValidation type="list" errorStyle="information" allowBlank="1" showInputMessage="1" showErrorMessage="1" errorTitle="Entry no allowed" sqref="C4:C10" xr:uid="{00000000-0002-0000-0800-000003000000}">
      <formula1>INDIRECT("DATA_PROCESSING_ACTIVITY[ID]")</formula1>
    </dataValidation>
  </dataValidations>
  <pageMargins left="0.7" right="0.7" top="0.75" bottom="0.75" header="0.3" footer="0.3"/>
  <pageSetup paperSize="9" orientation="portrait" r:id="rId1"/>
  <ignoredErrors>
    <ignoredError sqref="F4:F7 H7" listDataValidation="1"/>
  </ignoredErrors>
  <drawing r:id="rId2"/>
  <tableParts count="1">
    <tablePart r:id="rId3"/>
  </tableParts>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Feuil12"/>
  <dimension ref="A1:J10"/>
  <sheetViews>
    <sheetView workbookViewId="0">
      <selection activeCell="J6" sqref="J6"/>
    </sheetView>
  </sheetViews>
  <sheetFormatPr baseColWidth="10" defaultColWidth="11.42578125" defaultRowHeight="15"/>
  <cols>
    <col min="1" max="1" width="26.5703125" customWidth="1"/>
    <col min="2" max="2" width="16" customWidth="1"/>
    <col min="3" max="3" width="17.28515625" bestFit="1" customWidth="1"/>
    <col min="4" max="4" width="14.28515625" bestFit="1" customWidth="1"/>
    <col min="5" max="5" width="33.140625" bestFit="1" customWidth="1"/>
    <col min="6" max="6" width="19" customWidth="1"/>
    <col min="7" max="7" width="18.140625" bestFit="1" customWidth="1"/>
    <col min="8" max="8" width="17.5703125" bestFit="1" customWidth="1"/>
    <col min="9" max="9" width="19.7109375" customWidth="1"/>
    <col min="10" max="11" width="20.7109375" customWidth="1"/>
  </cols>
  <sheetData>
    <row r="1" spans="1:10">
      <c r="A1" s="2"/>
      <c r="B1" s="2"/>
      <c r="C1" s="2"/>
      <c r="D1" s="2"/>
      <c r="E1" s="2"/>
      <c r="F1" s="2"/>
      <c r="G1" s="2"/>
      <c r="H1" s="2"/>
      <c r="I1" s="2"/>
      <c r="J1" s="2"/>
    </row>
    <row r="2" spans="1:10">
      <c r="A2" s="2"/>
      <c r="B2" s="2"/>
      <c r="C2" s="2"/>
      <c r="D2" s="2"/>
      <c r="E2" s="2"/>
      <c r="F2" s="2"/>
      <c r="G2" s="2"/>
      <c r="H2" s="2"/>
      <c r="I2" s="2"/>
      <c r="J2" s="2"/>
    </row>
    <row r="3" spans="1:10">
      <c r="A3" s="23" t="s">
        <v>26</v>
      </c>
      <c r="B3" s="51" t="s">
        <v>22</v>
      </c>
      <c r="C3" s="51" t="s">
        <v>23</v>
      </c>
      <c r="D3" s="51" t="s">
        <v>3</v>
      </c>
      <c r="E3" s="51" t="s">
        <v>687</v>
      </c>
      <c r="F3" s="51" t="s">
        <v>8763</v>
      </c>
      <c r="G3" s="51" t="s">
        <v>8764</v>
      </c>
      <c r="H3" s="51" t="s">
        <v>8733</v>
      </c>
      <c r="I3" s="51" t="s">
        <v>30</v>
      </c>
      <c r="J3" s="51" t="s">
        <v>688</v>
      </c>
    </row>
    <row r="4" spans="1:10" ht="33.75">
      <c r="A4" s="55" t="str">
        <f>IF(ISBLANK(DATABASE[[#This Row],[Reference]]),TEXT(ROW(DATABASE[[#This Row],[Reference]]),"00000")&amp;"|--",TEXT(ROW(DATABASE[[#This Row],[ID]]),"00000")&amp;"|"&amp;DATABASE[[#This Row],[Name]])</f>
        <v>00004|Policy center PROD</v>
      </c>
      <c r="B4" s="52" t="s">
        <v>696</v>
      </c>
      <c r="C4" s="52" t="s">
        <v>699</v>
      </c>
      <c r="D4" s="53" t="s">
        <v>705</v>
      </c>
      <c r="E4" s="52" t="s">
        <v>694</v>
      </c>
      <c r="F4" s="52" t="s">
        <v>682</v>
      </c>
      <c r="G4" s="52" t="s">
        <v>8765</v>
      </c>
      <c r="H4" s="52" t="s">
        <v>680</v>
      </c>
      <c r="I4" s="52" t="s">
        <v>8757</v>
      </c>
      <c r="J4" s="54" t="s">
        <v>8756</v>
      </c>
    </row>
    <row r="5" spans="1:10" ht="33.75">
      <c r="A5" s="55" t="str">
        <f>IF(ISBLANK(DATABASE[[#This Row],[Reference]]),TEXT(ROW(DATABASE[[#This Row],[Reference]]),"00000")&amp;"|--",TEXT(ROW(DATABASE[[#This Row],[ID]]),"00000")&amp;"|"&amp;DATABASE[[#This Row],[Name]])</f>
        <v>00005|Claim center PROD</v>
      </c>
      <c r="B5" s="52" t="s">
        <v>697</v>
      </c>
      <c r="C5" s="52" t="s">
        <v>698</v>
      </c>
      <c r="D5" s="53" t="s">
        <v>706</v>
      </c>
      <c r="E5" s="52" t="s">
        <v>694</v>
      </c>
      <c r="F5" s="52" t="s">
        <v>682</v>
      </c>
      <c r="G5" s="52" t="s">
        <v>8765</v>
      </c>
      <c r="H5" s="52" t="s">
        <v>681</v>
      </c>
      <c r="I5" s="52" t="s">
        <v>8766</v>
      </c>
      <c r="J5" s="54" t="s">
        <v>8756</v>
      </c>
    </row>
    <row r="6" spans="1:10" ht="45">
      <c r="A6" s="55" t="str">
        <f>IF(ISBLANK(DATABASE[[#This Row],[Reference]]),TEXT(ROW(DATABASE[[#This Row],[Reference]]),"00000")&amp;"|--",TEXT(ROW(DATABASE[[#This Row],[ID]]),"00000")&amp;"|"&amp;DATABASE[[#This Row],[Name]])</f>
        <v>00006|BI Platform</v>
      </c>
      <c r="B6" s="52" t="s">
        <v>8805</v>
      </c>
      <c r="C6" s="52" t="s">
        <v>8806</v>
      </c>
      <c r="D6" s="53" t="s">
        <v>8807</v>
      </c>
      <c r="E6" s="52" t="s">
        <v>691</v>
      </c>
      <c r="F6" s="52" t="s">
        <v>8808</v>
      </c>
      <c r="G6" s="52" t="s">
        <v>8809</v>
      </c>
      <c r="H6" s="52" t="s">
        <v>8810</v>
      </c>
      <c r="I6" s="57" t="s">
        <v>8757</v>
      </c>
      <c r="J6" s="52" t="s">
        <v>8756</v>
      </c>
    </row>
    <row r="7" spans="1:10">
      <c r="A7" s="45" t="str">
        <f>IF(ISBLANK(DATABASE[[#This Row],[Reference]]),TEXT(ROW(DATABASE[[#This Row],[Reference]]),"00000")&amp;"|--",TEXT(ROW(DATABASE[[#This Row],[ID]]),"00000")&amp;"|"&amp;DATABASE[[#This Row],[Name]])</f>
        <v>00007|--</v>
      </c>
      <c r="B7" s="52"/>
      <c r="C7" s="52"/>
      <c r="D7" s="53"/>
      <c r="E7" s="52"/>
      <c r="F7" s="52"/>
      <c r="G7" s="52"/>
      <c r="H7" s="52"/>
      <c r="I7" s="52"/>
      <c r="J7" s="52"/>
    </row>
    <row r="8" spans="1:10">
      <c r="A8" s="45" t="str">
        <f>IF(ISBLANK(DATABASE[[#This Row],[Reference]]),TEXT(ROW(DATABASE[[#This Row],[Reference]]),"00000")&amp;"|--",TEXT(ROW(DATABASE[[#This Row],[ID]]),"00000")&amp;"|"&amp;DATABASE[[#This Row],[Name]])</f>
        <v>00008|--</v>
      </c>
      <c r="B8" s="52"/>
      <c r="C8" s="52"/>
      <c r="D8" s="53"/>
      <c r="E8" s="52"/>
      <c r="F8" s="52"/>
      <c r="G8" s="52"/>
      <c r="H8" s="52"/>
      <c r="I8" s="52"/>
      <c r="J8" s="52"/>
    </row>
    <row r="9" spans="1:10">
      <c r="A9" s="45" t="str">
        <f>IF(ISBLANK(DATABASE[[#This Row],[Reference]]),TEXT(ROW(DATABASE[[#This Row],[Reference]]),"00000")&amp;"|--",TEXT(ROW(DATABASE[[#This Row],[ID]]),"00000")&amp;"|"&amp;DATABASE[[#This Row],[Name]])</f>
        <v>00009|--</v>
      </c>
      <c r="B9" s="52"/>
      <c r="C9" s="52"/>
      <c r="D9" s="53"/>
      <c r="E9" s="52"/>
      <c r="F9" s="52"/>
      <c r="G9" s="52"/>
      <c r="H9" s="52"/>
      <c r="I9" s="52"/>
      <c r="J9" s="52"/>
    </row>
    <row r="10" spans="1:10">
      <c r="A10" s="45" t="str">
        <f>IF(ISBLANK(DATABASE[[#This Row],[Reference]]),TEXT(ROW(DATABASE[[#This Row],[Reference]]),"00000")&amp;"|--",TEXT(ROW(DATABASE[[#This Row],[ID]]),"00000")&amp;"|"&amp;DATABASE[[#This Row],[Name]])</f>
        <v>00010|--</v>
      </c>
      <c r="B10" s="52"/>
      <c r="C10" s="52"/>
      <c r="D10" s="53"/>
      <c r="E10" s="52"/>
      <c r="F10" s="52"/>
      <c r="G10" s="52"/>
      <c r="H10" s="52"/>
      <c r="I10" s="52"/>
      <c r="J10" s="52"/>
    </row>
  </sheetData>
  <sheetProtection sort="0" autoFilter="0"/>
  <dataValidations count="3">
    <dataValidation type="list" errorStyle="information" allowBlank="1" showInputMessage="1" showErrorMessage="1" errorTitle="Entry not allowed" error="Please update LOVs" sqref="E4:E10" xr:uid="{00000000-0002-0000-0B00-000001000000}">
      <formula1>DBENGINE</formula1>
    </dataValidation>
    <dataValidation errorStyle="information" allowBlank="1" showInputMessage="1" showErrorMessage="1" errorTitle="Entry not allowed" error="Please update LOVs" sqref="F4:F10 H4:I10" xr:uid="{4B12FF9F-0EB5-4DD0-8193-C647FD899638}"/>
    <dataValidation type="list" errorStyle="information" allowBlank="1" showInputMessage="1" showErrorMessage="1" errorTitle="Entry not allowed" error="Please update LOVs" sqref="G4:G10" xr:uid="{B316FC2F-7A9C-4825-B04E-CC75D6930727}">
      <formula1>ENVTYPE</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51207" r:id="rId4" name="CheckBox_dgov_dbase">
          <controlPr defaultSize="0" autoFill="0" autoLine="0" r:id="rId5">
            <anchor moveWithCells="1">
              <from>
                <xdr:col>1</xdr:col>
                <xdr:colOff>485775</xdr:colOff>
                <xdr:row>0</xdr:row>
                <xdr:rowOff>57150</xdr:rowOff>
              </from>
              <to>
                <xdr:col>3</xdr:col>
                <xdr:colOff>47625</xdr:colOff>
                <xdr:row>1</xdr:row>
                <xdr:rowOff>133350</xdr:rowOff>
              </to>
            </anchor>
          </controlPr>
        </control>
      </mc:Choice>
      <mc:Fallback>
        <control shapeId="51207" r:id="rId4" name="CheckBox_dgov_dbase"/>
      </mc:Fallback>
    </mc:AlternateContent>
  </controls>
  <tableParts count="1">
    <tablePart r:id="rId6"/>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Feuil13"/>
  <dimension ref="A1:J19"/>
  <sheetViews>
    <sheetView topLeftCell="B1" workbookViewId="0">
      <selection activeCell="I9" sqref="I9"/>
    </sheetView>
  </sheetViews>
  <sheetFormatPr baseColWidth="10" defaultColWidth="11.42578125" defaultRowHeight="15"/>
  <cols>
    <col min="1" max="1" width="31.42578125" customWidth="1"/>
    <col min="2" max="2" width="27.85546875" customWidth="1"/>
    <col min="3" max="3" width="33.85546875" customWidth="1"/>
    <col min="4" max="4" width="26.5703125" customWidth="1"/>
    <col min="5" max="6" width="26" customWidth="1"/>
    <col min="7" max="7" width="34.140625" customWidth="1"/>
    <col min="8" max="10" width="27.42578125" customWidth="1"/>
  </cols>
  <sheetData>
    <row r="1" spans="1:10">
      <c r="A1" s="2"/>
      <c r="B1" s="2"/>
      <c r="C1" s="2"/>
      <c r="D1" s="2"/>
      <c r="E1" s="2"/>
      <c r="F1" s="2"/>
      <c r="G1" s="2"/>
      <c r="H1" s="2"/>
      <c r="I1" s="43" t="s">
        <v>820</v>
      </c>
      <c r="J1" s="43" t="s">
        <v>820</v>
      </c>
    </row>
    <row r="2" spans="1:10">
      <c r="A2" s="2"/>
      <c r="B2" s="2"/>
      <c r="C2" s="2"/>
      <c r="D2" s="2"/>
      <c r="E2" s="2"/>
      <c r="F2" s="2"/>
      <c r="G2" s="2"/>
      <c r="H2" s="2"/>
      <c r="I2" s="1"/>
      <c r="J2" s="1"/>
    </row>
    <row r="3" spans="1:10">
      <c r="A3" s="23" t="s">
        <v>26</v>
      </c>
      <c r="B3" s="51" t="s">
        <v>22</v>
      </c>
      <c r="C3" s="51" t="s">
        <v>23</v>
      </c>
      <c r="D3" s="51" t="s">
        <v>683</v>
      </c>
      <c r="E3" s="51" t="s">
        <v>29</v>
      </c>
      <c r="F3" s="51" t="s">
        <v>754</v>
      </c>
      <c r="G3" s="51" t="s">
        <v>8735</v>
      </c>
      <c r="H3" s="51" t="s">
        <v>789</v>
      </c>
      <c r="I3" s="51" t="s">
        <v>8727</v>
      </c>
      <c r="J3" s="51" t="s">
        <v>8728</v>
      </c>
    </row>
    <row r="4" spans="1:10">
      <c r="A4" s="55" t="str">
        <f>IF(ISBLANK(DATASET[[#This Row],[Reference]]),TEXT(ROW(DATASET[[#This Row],[Reference]]),"00000")&amp;"|--",TEXT(ROW(DATASET[[#This Row],[ID]]),"00000")&amp;"|"&amp;DATASET[[#This Row],[Name]])</f>
        <v>00004|Policy_FT</v>
      </c>
      <c r="B4" s="52" t="s">
        <v>843</v>
      </c>
      <c r="C4" s="52" t="s">
        <v>793</v>
      </c>
      <c r="D4" s="52" t="s">
        <v>708</v>
      </c>
      <c r="E4" s="52" t="s">
        <v>67</v>
      </c>
      <c r="F4" s="52" t="s">
        <v>839</v>
      </c>
      <c r="G4" s="55" t="str">
        <f>IF(ISBLANK(DATASET[[#This Row],[Database ID]]),"-",IF(ISERROR(VLOOKUP(DATASET[[#This Row],[Database ID]],DATABASE[],4,FALSE)),"Not found",VLOOKUP(DATASET[[#This Row],[Database ID]],DATABASE[],4,FALSE)))</f>
        <v>Guidewire policy center prod oracle database</v>
      </c>
      <c r="H4" s="106" t="s">
        <v>831</v>
      </c>
      <c r="I4" s="55" t="str">
        <f>IF(ISBLANK(DATASET[[#This Row],[Data Object ID]]),"-",IF(ISERROR(VLOOKUP(DATASET[[#This Row],[Data Object ID]],DATA_OBJECT[],2,FALSE)),"Not found",VLOOKUP(DATASET[[#This Row],[Data Object ID]],DATA_OBJECT[],2,FALSE)))</f>
        <v>Policy</v>
      </c>
      <c r="J4" s="55" t="str">
        <f>IF(ISBLANK(DATASET[[#This Row],[Data Object ID]]),"-",IF(ISERROR(VLOOKUP(DATASET[[#This Row],[Data Object ID]],DATA_OBJECT[],3,FALSE)),"Not found",VLOOKUP(DATASET[[#This Row],[Data Object ID]],DATA_OBJECT[],3,FALSE)))</f>
        <v>Policy</v>
      </c>
    </row>
    <row r="5" spans="1:10">
      <c r="A5" s="55" t="str">
        <f>IF(ISBLANK(DATASET[[#This Row],[Reference]]),TEXT(ROW(DATASET[[#This Row],[Reference]]),"00000")&amp;"|--",TEXT(ROW(DATASET[[#This Row],[ID]]),"00000")&amp;"|"&amp;DATASET[[#This Row],[Name]])</f>
        <v>00005|Party_DM</v>
      </c>
      <c r="B5" s="52" t="s">
        <v>844</v>
      </c>
      <c r="C5" s="52" t="s">
        <v>791</v>
      </c>
      <c r="D5" s="52" t="s">
        <v>708</v>
      </c>
      <c r="E5" s="52" t="s">
        <v>67</v>
      </c>
      <c r="F5" s="52" t="s">
        <v>839</v>
      </c>
      <c r="G5" s="55" t="str">
        <f>IF(ISBLANK(DATASET[[#This Row],[Database ID]]),"-",IF(ISERROR(VLOOKUP(DATASET[[#This Row],[Database ID]],DATABASE[],4,FALSE)),"Not found",VLOOKUP(DATASET[[#This Row],[Database ID]],DATABASE[],4,FALSE)))</f>
        <v>Guidewire policy center prod oracle database</v>
      </c>
      <c r="H5" s="106"/>
      <c r="I5" s="55" t="str">
        <f>IF(ISBLANK(DATASET[[#This Row],[Data Object ID]]),"-",IF(ISERROR(VLOOKUP(DATASET[[#This Row],[Data Object ID]],DATA_OBJECT[],2,FALSE)),"Not found",VLOOKUP(DATASET[[#This Row],[Data Object ID]],DATA_OBJECT[],2,FALSE)))</f>
        <v>-</v>
      </c>
      <c r="J5" s="55" t="str">
        <f>IF(ISBLANK(DATASET[[#This Row],[Data Object ID]]),"-",IF(ISERROR(VLOOKUP(DATASET[[#This Row],[Data Object ID]],DATA_OBJECT[],3,FALSE)),"Not found",VLOOKUP(DATASET[[#This Row],[Data Object ID]],DATA_OBJECT[],3,FALSE)))</f>
        <v>-</v>
      </c>
    </row>
    <row r="6" spans="1:10">
      <c r="A6" s="55" t="str">
        <f>IF(ISBLANK(DATASET[[#This Row],[Reference]]),TEXT(ROW(DATASET[[#This Row],[Reference]]),"00000")&amp;"|--",TEXT(ROW(DATASET[[#This Row],[ID]]),"00000")&amp;"|"&amp;DATASET[[#This Row],[Name]])</f>
        <v>00006|Client_DM</v>
      </c>
      <c r="B6" s="52" t="s">
        <v>845</v>
      </c>
      <c r="C6" s="52" t="s">
        <v>792</v>
      </c>
      <c r="D6" s="52" t="s">
        <v>708</v>
      </c>
      <c r="E6" s="52" t="s">
        <v>67</v>
      </c>
      <c r="F6" s="52" t="s">
        <v>839</v>
      </c>
      <c r="G6" s="55" t="str">
        <f>IF(ISBLANK(DATASET[[#This Row],[Database ID]]),"-",IF(ISERROR(VLOOKUP(DATASET[[#This Row],[Database ID]],DATABASE[],4,FALSE)),"Not found",VLOOKUP(DATASET[[#This Row],[Database ID]],DATABASE[],4,FALSE)))</f>
        <v>Guidewire policy center prod oracle database</v>
      </c>
      <c r="H6" s="106"/>
      <c r="I6" s="55" t="str">
        <f>IF(ISBLANK(DATASET[[#This Row],[Data Object ID]]),"-",IF(ISERROR(VLOOKUP(DATASET[[#This Row],[Data Object ID]],DATA_OBJECT[],2,FALSE)),"Not found",VLOOKUP(DATASET[[#This Row],[Data Object ID]],DATA_OBJECT[],2,FALSE)))</f>
        <v>-</v>
      </c>
      <c r="J6" s="55" t="str">
        <f>IF(ISBLANK(DATASET[[#This Row],[Data Object ID]]),"-",IF(ISERROR(VLOOKUP(DATASET[[#This Row],[Data Object ID]],DATA_OBJECT[],3,FALSE)),"Not found",VLOOKUP(DATASET[[#This Row],[Data Object ID]],DATA_OBJECT[],3,FALSE)))</f>
        <v>-</v>
      </c>
    </row>
    <row r="7" spans="1:10">
      <c r="A7" s="55" t="str">
        <f>IF(ISBLANK(DATASET[[#This Row],[Reference]]),TEXT(ROW(DATASET[[#This Row],[Reference]]),"00000")&amp;"|--",TEXT(ROW(DATASET[[#This Row],[ID]]),"00000")&amp;"|"&amp;DATASET[[#This Row],[Name]])</f>
        <v>00007|Claim_FT</v>
      </c>
      <c r="B7" s="52" t="s">
        <v>846</v>
      </c>
      <c r="C7" s="52" t="s">
        <v>794</v>
      </c>
      <c r="D7" s="52" t="s">
        <v>708</v>
      </c>
      <c r="E7" s="52" t="s">
        <v>67</v>
      </c>
      <c r="F7" s="52" t="s">
        <v>850</v>
      </c>
      <c r="G7" s="55" t="str">
        <f>IF(ISBLANK(DATASET[[#This Row],[Database ID]]),"-",IF(ISERROR(VLOOKUP(DATASET[[#This Row],[Database ID]],DATABASE[],4,FALSE)),"Not found",VLOOKUP(DATASET[[#This Row],[Database ID]],DATABASE[],4,FALSE)))</f>
        <v>Guidewire claim center prod oracle database</v>
      </c>
      <c r="H7" s="106" t="s">
        <v>840</v>
      </c>
      <c r="I7" s="55" t="str">
        <f>IF(ISBLANK(DATASET[[#This Row],[Data Object ID]]),"-",IF(ISERROR(VLOOKUP(DATASET[[#This Row],[Data Object ID]],DATA_OBJECT[],2,FALSE)),"Not found",VLOOKUP(DATASET[[#This Row],[Data Object ID]],DATA_OBJECT[],2,FALSE)))</f>
        <v>Claim</v>
      </c>
      <c r="J7" s="55" t="str">
        <f>IF(ISBLANK(DATASET[[#This Row],[Data Object ID]]),"-",IF(ISERROR(VLOOKUP(DATASET[[#This Row],[Data Object ID]],DATA_OBJECT[],3,FALSE)),"Not found",VLOOKUP(DATASET[[#This Row],[Data Object ID]],DATA_OBJECT[],3,FALSE)))</f>
        <v>Claim</v>
      </c>
    </row>
    <row r="8" spans="1:10">
      <c r="A8" s="55" t="str">
        <f>IF(ISBLANK(DATASET[[#This Row],[Reference]]),TEXT(ROW(DATASET[[#This Row],[Reference]]),"00000")&amp;"|--",TEXT(ROW(DATASET[[#This Row],[ID]]),"00000")&amp;"|"&amp;DATASET[[#This Row],[Name]])</f>
        <v>00008|Loss_notification_FT</v>
      </c>
      <c r="B8" s="52" t="s">
        <v>847</v>
      </c>
      <c r="C8" s="52" t="s">
        <v>795</v>
      </c>
      <c r="D8" s="52" t="s">
        <v>708</v>
      </c>
      <c r="E8" s="52" t="s">
        <v>68</v>
      </c>
      <c r="F8" s="52" t="s">
        <v>850</v>
      </c>
      <c r="G8" s="55" t="str">
        <f>IF(ISBLANK(DATASET[[#This Row],[Database ID]]),"-",IF(ISERROR(VLOOKUP(DATASET[[#This Row],[Database ID]],DATABASE[],4,FALSE)),"Not found",VLOOKUP(DATASET[[#This Row],[Database ID]],DATABASE[],4,FALSE)))</f>
        <v>Guidewire claim center prod oracle database</v>
      </c>
      <c r="H8" s="106"/>
      <c r="I8" s="55" t="str">
        <f>IF(ISBLANK(DATASET[[#This Row],[Data Object ID]]),"-",IF(ISERROR(VLOOKUP(DATASET[[#This Row],[Data Object ID]],DATA_OBJECT[],2,FALSE)),"Not found",VLOOKUP(DATASET[[#This Row],[Data Object ID]],DATA_OBJECT[],2,FALSE)))</f>
        <v>-</v>
      </c>
      <c r="J8" s="55" t="str">
        <f>IF(ISBLANK(DATASET[[#This Row],[Data Object ID]]),"-",IF(ISERROR(VLOOKUP(DATASET[[#This Row],[Data Object ID]],DATA_OBJECT[],3,FALSE)),"Not found",VLOOKUP(DATASET[[#This Row],[Data Object ID]],DATA_OBJECT[],3,FALSE)))</f>
        <v>-</v>
      </c>
    </row>
    <row r="9" spans="1:10">
      <c r="A9" s="55" t="str">
        <f>IF(ISBLANK(DATASET[[#This Row],[Reference]]),TEXT(ROW(DATASET[[#This Row],[Reference]]),"00000")&amp;"|--",TEXT(ROW(DATASET[[#This Row],[ID]]),"00000")&amp;"|"&amp;DATASET[[#This Row],[Name]])</f>
        <v>00009|CLAIM FILES</v>
      </c>
      <c r="B9" s="52" t="s">
        <v>8811</v>
      </c>
      <c r="C9" s="52" t="s">
        <v>8812</v>
      </c>
      <c r="D9" s="52" t="s">
        <v>708</v>
      </c>
      <c r="E9" s="52" t="s">
        <v>67</v>
      </c>
      <c r="F9" s="52" t="s">
        <v>8813</v>
      </c>
      <c r="G9" s="55" t="str">
        <f>IF(ISBLANK(DATASET[[#This Row],[Database ID]]),"-",IF(ISERROR(VLOOKUP(DATASET[[#This Row],[Database ID]],DATABASE[],4,FALSE)),"Not found",VLOOKUP(DATASET[[#This Row],[Database ID]],DATABASE[],4,FALSE)))</f>
        <v>The central datalake where all relecvant customers data</v>
      </c>
      <c r="H9" s="106" t="s">
        <v>840</v>
      </c>
      <c r="I9" s="55" t="str">
        <f>IF(ISBLANK(DATASET[[#This Row],[Data Object ID]]),"-",IF(ISERROR(VLOOKUP(DATASET[[#This Row],[Data Object ID]],DATA_OBJECT[],2,FALSE)),"Not found",VLOOKUP(DATASET[[#This Row],[Data Object ID]],DATA_OBJECT[],2,FALSE)))</f>
        <v>Claim</v>
      </c>
      <c r="J9" s="55" t="str">
        <f>IF(ISBLANK(DATASET[[#This Row],[Data Object ID]]),"-",IF(ISERROR(VLOOKUP(DATASET[[#This Row],[Data Object ID]],DATA_OBJECT[],3,FALSE)),"Not found",VLOOKUP(DATASET[[#This Row],[Data Object ID]],DATA_OBJECT[],3,FALSE)))</f>
        <v>Claim</v>
      </c>
    </row>
    <row r="10" spans="1:10">
      <c r="A10" s="45" t="str">
        <f>IF(ISBLANK(DATASET[[#This Row],[Reference]]),TEXT(ROW(DATASET[[#This Row],[Reference]]),"00000")&amp;"|--",TEXT(ROW(DATASET[[#This Row],[ID]]),"00000")&amp;"|"&amp;DATASET[[#This Row],[Name]])</f>
        <v>00010|--</v>
      </c>
      <c r="B10" s="52"/>
      <c r="C10" s="52"/>
      <c r="D10" s="52"/>
      <c r="E10" s="52"/>
      <c r="F10" s="52"/>
      <c r="G10" s="55" t="str">
        <f>IF(ISBLANK(DATASET[[#This Row],[Database ID]]),"-",IF(ISERROR(VLOOKUP(DATASET[[#This Row],[Database ID]],DATABASE[],4,FALSE)),"Not found",VLOOKUP(DATASET[[#This Row],[Database ID]],DATABASE[],4,FALSE)))</f>
        <v>-</v>
      </c>
      <c r="H10" s="106"/>
      <c r="I10" s="55" t="str">
        <f>IF(ISBLANK(DATASET[[#This Row],[Data Object ID]]),"-",IF(ISERROR(VLOOKUP(DATASET[[#This Row],[Data Object ID]],DATA_OBJECT[],2,FALSE)),"Not found",VLOOKUP(DATASET[[#This Row],[Data Object ID]],DATA_OBJECT[],2,FALSE)))</f>
        <v>-</v>
      </c>
      <c r="J10" s="55" t="str">
        <f>IF(ISBLANK(DATASET[[#This Row],[Data Object ID]]),"-",IF(ISERROR(VLOOKUP(DATASET[[#This Row],[Data Object ID]],DATA_OBJECT[],3,FALSE)),"Not found",VLOOKUP(DATASET[[#This Row],[Data Object ID]],DATA_OBJECT[],3,FALSE)))</f>
        <v>-</v>
      </c>
    </row>
    <row r="11" spans="1:10">
      <c r="A11" s="45" t="str">
        <f>IF(ISBLANK(DATASET[[#This Row],[Reference]]),TEXT(ROW(DATASET[[#This Row],[Reference]]),"00000")&amp;"|--",TEXT(ROW(DATASET[[#This Row],[ID]]),"00000")&amp;"|"&amp;DATASET[[#This Row],[Name]])</f>
        <v>00011|--</v>
      </c>
      <c r="B11" s="52"/>
      <c r="C11" s="52"/>
      <c r="D11" s="52"/>
      <c r="E11" s="52"/>
      <c r="F11" s="52"/>
      <c r="G11" s="55" t="str">
        <f>IF(ISBLANK(DATASET[[#This Row],[Database ID]]),"-",IF(ISERROR(VLOOKUP(DATASET[[#This Row],[Database ID]],DATABASE[],4,FALSE)),"Not found",VLOOKUP(DATASET[[#This Row],[Database ID]],DATABASE[],4,FALSE)))</f>
        <v>-</v>
      </c>
      <c r="H11" s="106"/>
      <c r="I11" s="55" t="str">
        <f>IF(ISBLANK(DATASET[[#This Row],[Data Object ID]]),"-",IF(ISERROR(VLOOKUP(DATASET[[#This Row],[Data Object ID]],DATA_OBJECT[],2,FALSE)),"Not found",VLOOKUP(DATASET[[#This Row],[Data Object ID]],DATA_OBJECT[],2,FALSE)))</f>
        <v>-</v>
      </c>
      <c r="J11" s="55" t="str">
        <f>IF(ISBLANK(DATASET[[#This Row],[Data Object ID]]),"-",IF(ISERROR(VLOOKUP(DATASET[[#This Row],[Data Object ID]],DATA_OBJECT[],3,FALSE)),"Not found",VLOOKUP(DATASET[[#This Row],[Data Object ID]],DATA_OBJECT[],3,FALSE)))</f>
        <v>-</v>
      </c>
    </row>
    <row r="12" spans="1:10">
      <c r="A12" s="45" t="str">
        <f>IF(ISBLANK(DATASET[[#This Row],[Reference]]),TEXT(ROW(DATASET[[#This Row],[Reference]]),"00000")&amp;"|--",TEXT(ROW(DATASET[[#This Row],[ID]]),"00000")&amp;"|"&amp;DATASET[[#This Row],[Name]])</f>
        <v>00012|--</v>
      </c>
      <c r="B12" s="52"/>
      <c r="C12" s="52"/>
      <c r="D12" s="52"/>
      <c r="E12" s="52"/>
      <c r="F12" s="52"/>
      <c r="G12" s="55" t="str">
        <f>IF(ISBLANK(DATASET[[#This Row],[Database ID]]),"-",IF(ISERROR(VLOOKUP(DATASET[[#This Row],[Database ID]],DATABASE[],4,FALSE)),"Not found",VLOOKUP(DATASET[[#This Row],[Database ID]],DATABASE[],4,FALSE)))</f>
        <v>-</v>
      </c>
      <c r="H12" s="106"/>
      <c r="I12" s="55" t="str">
        <f>IF(ISBLANK(DATASET[[#This Row],[Data Object ID]]),"-",IF(ISERROR(VLOOKUP(DATASET[[#This Row],[Data Object ID]],DATA_OBJECT[],2,FALSE)),"Not found",VLOOKUP(DATASET[[#This Row],[Data Object ID]],DATA_OBJECT[],2,FALSE)))</f>
        <v>-</v>
      </c>
      <c r="J12" s="55" t="str">
        <f>IF(ISBLANK(DATASET[[#This Row],[Data Object ID]]),"-",IF(ISERROR(VLOOKUP(DATASET[[#This Row],[Data Object ID]],DATA_OBJECT[],3,FALSE)),"Not found",VLOOKUP(DATASET[[#This Row],[Data Object ID]],DATA_OBJECT[],3,FALSE)))</f>
        <v>-</v>
      </c>
    </row>
    <row r="13" spans="1:10">
      <c r="A13" s="45" t="str">
        <f>IF(ISBLANK(DATASET[[#This Row],[Reference]]),TEXT(ROW(DATASET[[#This Row],[Reference]]),"00000")&amp;"|--",TEXT(ROW(DATASET[[#This Row],[ID]]),"00000")&amp;"|"&amp;DATASET[[#This Row],[Name]])</f>
        <v>00013|--</v>
      </c>
      <c r="B13" s="52"/>
      <c r="C13" s="52"/>
      <c r="D13" s="52"/>
      <c r="E13" s="52"/>
      <c r="F13" s="52"/>
      <c r="G13" s="55" t="str">
        <f>IF(ISBLANK(DATASET[[#This Row],[Database ID]]),"-",IF(ISERROR(VLOOKUP(DATASET[[#This Row],[Database ID]],DATABASE[],4,FALSE)),"Not found",VLOOKUP(DATASET[[#This Row],[Database ID]],DATABASE[],4,FALSE)))</f>
        <v>-</v>
      </c>
      <c r="H13" s="106"/>
      <c r="I13" s="55" t="str">
        <f>IF(ISBLANK(DATASET[[#This Row],[Data Object ID]]),"-",IF(ISERROR(VLOOKUP(DATASET[[#This Row],[Data Object ID]],DATA_OBJECT[],2,FALSE)),"Not found",VLOOKUP(DATASET[[#This Row],[Data Object ID]],DATA_OBJECT[],2,FALSE)))</f>
        <v>-</v>
      </c>
      <c r="J13" s="55" t="str">
        <f>IF(ISBLANK(DATASET[[#This Row],[Data Object ID]]),"-",IF(ISERROR(VLOOKUP(DATASET[[#This Row],[Data Object ID]],DATA_OBJECT[],3,FALSE)),"Not found",VLOOKUP(DATASET[[#This Row],[Data Object ID]],DATA_OBJECT[],3,FALSE)))</f>
        <v>-</v>
      </c>
    </row>
    <row r="14" spans="1:10">
      <c r="A14" s="45" t="str">
        <f>IF(ISBLANK(DATASET[[#This Row],[Reference]]),TEXT(ROW(DATASET[[#This Row],[Reference]]),"00000")&amp;"|--",TEXT(ROW(DATASET[[#This Row],[ID]]),"00000")&amp;"|"&amp;DATASET[[#This Row],[Name]])</f>
        <v>00014|--</v>
      </c>
      <c r="B14" s="52"/>
      <c r="C14" s="52"/>
      <c r="D14" s="52"/>
      <c r="E14" s="52"/>
      <c r="F14" s="52"/>
      <c r="G14" s="55" t="str">
        <f>IF(ISBLANK(DATASET[[#This Row],[Database ID]]),"-",IF(ISERROR(VLOOKUP(DATASET[[#This Row],[Database ID]],DATABASE[],4,FALSE)),"Not found",VLOOKUP(DATASET[[#This Row],[Database ID]],DATABASE[],4,FALSE)))</f>
        <v>-</v>
      </c>
      <c r="H14" s="106"/>
      <c r="I14" s="55" t="str">
        <f>IF(ISBLANK(DATASET[[#This Row],[Data Object ID]]),"-",IF(ISERROR(VLOOKUP(DATASET[[#This Row],[Data Object ID]],DATA_OBJECT[],2,FALSE)),"Not found",VLOOKUP(DATASET[[#This Row],[Data Object ID]],DATA_OBJECT[],2,FALSE)))</f>
        <v>-</v>
      </c>
      <c r="J14" s="55" t="str">
        <f>IF(ISBLANK(DATASET[[#This Row],[Data Object ID]]),"-",IF(ISERROR(VLOOKUP(DATASET[[#This Row],[Data Object ID]],DATA_OBJECT[],3,FALSE)),"Not found",VLOOKUP(DATASET[[#This Row],[Data Object ID]],DATA_OBJECT[],3,FALSE)))</f>
        <v>-</v>
      </c>
    </row>
    <row r="15" spans="1:10">
      <c r="A15" s="45" t="str">
        <f>IF(ISBLANK(DATASET[[#This Row],[Reference]]),TEXT(ROW(DATASET[[#This Row],[Reference]]),"00000")&amp;"|--",TEXT(ROW(DATASET[[#This Row],[ID]]),"00000")&amp;"|"&amp;DATASET[[#This Row],[Name]])</f>
        <v>00015|--</v>
      </c>
      <c r="B15" s="52"/>
      <c r="C15" s="52"/>
      <c r="D15" s="52"/>
      <c r="E15" s="52"/>
      <c r="F15" s="52"/>
      <c r="G15" s="55" t="str">
        <f>IF(ISBLANK(DATASET[[#This Row],[Database ID]]),"-",IF(ISERROR(VLOOKUP(DATASET[[#This Row],[Database ID]],DATABASE[],4,FALSE)),"Not found",VLOOKUP(DATASET[[#This Row],[Database ID]],DATABASE[],4,FALSE)))</f>
        <v>-</v>
      </c>
      <c r="H15" s="106"/>
      <c r="I15" s="55" t="str">
        <f>IF(ISBLANK(DATASET[[#This Row],[Data Object ID]]),"-",IF(ISERROR(VLOOKUP(DATASET[[#This Row],[Data Object ID]],DATA_OBJECT[],2,FALSE)),"Not found",VLOOKUP(DATASET[[#This Row],[Data Object ID]],DATA_OBJECT[],2,FALSE)))</f>
        <v>-</v>
      </c>
      <c r="J15" s="55" t="str">
        <f>IF(ISBLANK(DATASET[[#This Row],[Data Object ID]]),"-",IF(ISERROR(VLOOKUP(DATASET[[#This Row],[Data Object ID]],DATA_OBJECT[],3,FALSE)),"Not found",VLOOKUP(DATASET[[#This Row],[Data Object ID]],DATA_OBJECT[],3,FALSE)))</f>
        <v>-</v>
      </c>
    </row>
    <row r="16" spans="1:10">
      <c r="A16" s="45" t="str">
        <f>IF(ISBLANK(DATASET[[#This Row],[Reference]]),TEXT(ROW(DATASET[[#This Row],[Reference]]),"00000")&amp;"|--",TEXT(ROW(DATASET[[#This Row],[ID]]),"00000")&amp;"|"&amp;DATASET[[#This Row],[Name]])</f>
        <v>00016|--</v>
      </c>
      <c r="B16" s="52"/>
      <c r="C16" s="52"/>
      <c r="D16" s="52"/>
      <c r="E16" s="52"/>
      <c r="F16" s="52"/>
      <c r="G16" s="55" t="str">
        <f>IF(ISBLANK(DATASET[[#This Row],[Database ID]]),"-",IF(ISERROR(VLOOKUP(DATASET[[#This Row],[Database ID]],DATABASE[],4,FALSE)),"Not found",VLOOKUP(DATASET[[#This Row],[Database ID]],DATABASE[],4,FALSE)))</f>
        <v>-</v>
      </c>
      <c r="H16" s="106"/>
      <c r="I16" s="55" t="str">
        <f>IF(ISBLANK(DATASET[[#This Row],[Data Object ID]]),"-",IF(ISERROR(VLOOKUP(DATASET[[#This Row],[Data Object ID]],DATA_OBJECT[],2,FALSE)),"Not found",VLOOKUP(DATASET[[#This Row],[Data Object ID]],DATA_OBJECT[],2,FALSE)))</f>
        <v>-</v>
      </c>
      <c r="J16" s="55" t="str">
        <f>IF(ISBLANK(DATASET[[#This Row],[Data Object ID]]),"-",IF(ISERROR(VLOOKUP(DATASET[[#This Row],[Data Object ID]],DATA_OBJECT[],3,FALSE)),"Not found",VLOOKUP(DATASET[[#This Row],[Data Object ID]],DATA_OBJECT[],3,FALSE)))</f>
        <v>-</v>
      </c>
    </row>
    <row r="17" spans="1:10">
      <c r="A17" s="45" t="str">
        <f>IF(ISBLANK(DATASET[[#This Row],[Reference]]),TEXT(ROW(DATASET[[#This Row],[Reference]]),"00000")&amp;"|--",TEXT(ROW(DATASET[[#This Row],[ID]]),"00000")&amp;"|"&amp;DATASET[[#This Row],[Name]])</f>
        <v>00017|--</v>
      </c>
      <c r="B17" s="52"/>
      <c r="C17" s="52"/>
      <c r="D17" s="52"/>
      <c r="E17" s="52"/>
      <c r="F17" s="52"/>
      <c r="G17" s="55" t="str">
        <f>IF(ISBLANK(DATASET[[#This Row],[Database ID]]),"-",IF(ISERROR(VLOOKUP(DATASET[[#This Row],[Database ID]],DATABASE[],4,FALSE)),"Not found",VLOOKUP(DATASET[[#This Row],[Database ID]],DATABASE[],4,FALSE)))</f>
        <v>-</v>
      </c>
      <c r="H17" s="106"/>
      <c r="I17" s="55" t="str">
        <f>IF(ISBLANK(DATASET[[#This Row],[Data Object ID]]),"-",IF(ISERROR(VLOOKUP(DATASET[[#This Row],[Data Object ID]],DATA_OBJECT[],2,FALSE)),"Not found",VLOOKUP(DATASET[[#This Row],[Data Object ID]],DATA_OBJECT[],2,FALSE)))</f>
        <v>-</v>
      </c>
      <c r="J17" s="55" t="str">
        <f>IF(ISBLANK(DATASET[[#This Row],[Data Object ID]]),"-",IF(ISERROR(VLOOKUP(DATASET[[#This Row],[Data Object ID]],DATA_OBJECT[],3,FALSE)),"Not found",VLOOKUP(DATASET[[#This Row],[Data Object ID]],DATA_OBJECT[],3,FALSE)))</f>
        <v>-</v>
      </c>
    </row>
    <row r="18" spans="1:10">
      <c r="A18" s="45" t="str">
        <f>IF(ISBLANK(DATASET[[#This Row],[Reference]]),TEXT(ROW(DATASET[[#This Row],[Reference]]),"00000")&amp;"|--",TEXT(ROW(DATASET[[#This Row],[ID]]),"00000")&amp;"|"&amp;DATASET[[#This Row],[Name]])</f>
        <v>00018|--</v>
      </c>
      <c r="B18" s="52"/>
      <c r="C18" s="52"/>
      <c r="D18" s="52"/>
      <c r="E18" s="52"/>
      <c r="F18" s="52"/>
      <c r="G18" s="55" t="str">
        <f>IF(ISBLANK(DATASET[[#This Row],[Database ID]]),"-",IF(ISERROR(VLOOKUP(DATASET[[#This Row],[Database ID]],DATABASE[],4,FALSE)),"Not found",VLOOKUP(DATASET[[#This Row],[Database ID]],DATABASE[],4,FALSE)))</f>
        <v>-</v>
      </c>
      <c r="H18" s="106"/>
      <c r="I18" s="55" t="str">
        <f>IF(ISBLANK(DATASET[[#This Row],[Data Object ID]]),"-",IF(ISERROR(VLOOKUP(DATASET[[#This Row],[Data Object ID]],DATA_OBJECT[],2,FALSE)),"Not found",VLOOKUP(DATASET[[#This Row],[Data Object ID]],DATA_OBJECT[],2,FALSE)))</f>
        <v>-</v>
      </c>
      <c r="J18" s="55" t="str">
        <f>IF(ISBLANK(DATASET[[#This Row],[Data Object ID]]),"-",IF(ISERROR(VLOOKUP(DATASET[[#This Row],[Data Object ID]],DATA_OBJECT[],3,FALSE)),"Not found",VLOOKUP(DATASET[[#This Row],[Data Object ID]],DATA_OBJECT[],3,FALSE)))</f>
        <v>-</v>
      </c>
    </row>
    <row r="19" spans="1:10">
      <c r="A19" s="45" t="str">
        <f>IF(ISBLANK(DATASET[[#This Row],[Reference]]),TEXT(ROW(DATASET[[#This Row],[Reference]]),"00000")&amp;"|--",TEXT(ROW(DATASET[[#This Row],[ID]]),"00000")&amp;"|"&amp;DATASET[[#This Row],[Name]])</f>
        <v>00019|--</v>
      </c>
      <c r="B19" s="52"/>
      <c r="C19" s="52"/>
      <c r="D19" s="52"/>
      <c r="E19" s="52"/>
      <c r="F19" s="52"/>
      <c r="G19" s="55" t="str">
        <f>IF(ISBLANK(DATASET[[#This Row],[Database ID]]),"-",IF(ISERROR(VLOOKUP(DATASET[[#This Row],[Database ID]],DATABASE[],4,FALSE)),"Not found",VLOOKUP(DATASET[[#This Row],[Database ID]],DATABASE[],4,FALSE)))</f>
        <v>-</v>
      </c>
      <c r="H19" s="106"/>
      <c r="I19" s="55" t="str">
        <f>IF(ISBLANK(DATASET[[#This Row],[Data Object ID]]),"-",IF(ISERROR(VLOOKUP(DATASET[[#This Row],[Data Object ID]],DATA_OBJECT[],2,FALSE)),"Not found",VLOOKUP(DATASET[[#This Row],[Data Object ID]],DATA_OBJECT[],2,FALSE)))</f>
        <v>-</v>
      </c>
      <c r="J19" s="55" t="str">
        <f>IF(ISBLANK(DATASET[[#This Row],[Data Object ID]]),"-",IF(ISERROR(VLOOKUP(DATASET[[#This Row],[Data Object ID]],DATA_OBJECT[],3,FALSE)),"Not found",VLOOKUP(DATASET[[#This Row],[Data Object ID]],DATA_OBJECT[],3,FALSE)))</f>
        <v>-</v>
      </c>
    </row>
  </sheetData>
  <sheetProtection sheet="1" sort="0" autoFilter="0"/>
  <dataValidations count="5">
    <dataValidation type="list" errorStyle="information" allowBlank="1" showInputMessage="1" showErrorMessage="1" errorTitle="Entry not allowed" error="Please update LOVs" sqref="D4:D19" xr:uid="{00000000-0002-0000-0C00-000000000000}">
      <formula1>DATASETTYPE</formula1>
    </dataValidation>
    <dataValidation type="list" errorStyle="information" allowBlank="1" showInputMessage="1" showErrorMessage="1" errorTitle="Entry not allowed" error="Please update LOVs" sqref="E4:E19" xr:uid="{B711E84B-E22B-4F35-BA87-FA6163632201}">
      <formula1>CONLVL</formula1>
    </dataValidation>
    <dataValidation errorStyle="information" allowBlank="1" showInputMessage="1" showErrorMessage="1" errorTitle="Entry not allowed" error="Please update LOVs" sqref="I4:J19 G4:G19" xr:uid="{CC1B5B7E-1989-4590-82C1-5CDFE8756E65}"/>
    <dataValidation type="list" allowBlank="1" showInputMessage="1" showErrorMessage="1" errorTitle="Entry not allowed" sqref="F4:F19" xr:uid="{087D631D-CF17-467A-A999-2499ED3CBE55}">
      <formula1>INDIRECT("DATABASE[ID]")</formula1>
    </dataValidation>
    <dataValidation type="list" errorStyle="information" allowBlank="1" showInputMessage="1" showErrorMessage="1" errorTitle="Entry not allowed" error="Please update LOVs" sqref="H4:H19" xr:uid="{96F71622-C1E5-4C97-AEE5-B61A3898EF10}">
      <formula1>INDIRECT("DATA_OBJECT[ID]")</formula1>
    </dataValidation>
  </dataValidations>
  <pageMargins left="0.7" right="0.7" top="0.75" bottom="0.75" header="0.3" footer="0.3"/>
  <pageSetup paperSize="9" orientation="portrait" r:id="rId1"/>
  <drawing r:id="rId2"/>
  <tableParts count="1">
    <tablePart r:id="rId3"/>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Feuil14"/>
  <dimension ref="A1:M20"/>
  <sheetViews>
    <sheetView tabSelected="1" topLeftCell="C1" workbookViewId="0">
      <selection activeCell="K6" sqref="K6"/>
    </sheetView>
  </sheetViews>
  <sheetFormatPr baseColWidth="10" defaultColWidth="11.42578125" defaultRowHeight="15"/>
  <cols>
    <col min="1" max="1" width="27.42578125" customWidth="1"/>
    <col min="2" max="2" width="20.42578125" customWidth="1"/>
    <col min="3" max="3" width="24.140625" customWidth="1"/>
    <col min="4" max="4" width="18.85546875" customWidth="1"/>
    <col min="5" max="5" width="17.5703125" customWidth="1"/>
    <col min="6" max="6" width="20" customWidth="1"/>
    <col min="7" max="7" width="26.85546875" customWidth="1"/>
    <col min="8" max="8" width="18" customWidth="1"/>
    <col min="9" max="9" width="19.7109375" customWidth="1"/>
    <col min="10" max="10" width="26.7109375" customWidth="1"/>
    <col min="11" max="13" width="26.5703125" customWidth="1"/>
    <col min="14" max="14" width="18.5703125" customWidth="1"/>
    <col min="15" max="15" width="15.28515625" customWidth="1"/>
    <col min="16" max="16" width="23.85546875" customWidth="1"/>
  </cols>
  <sheetData>
    <row r="1" spans="1:13">
      <c r="A1" s="2"/>
      <c r="B1" s="2"/>
      <c r="C1" s="2"/>
      <c r="D1" s="2"/>
      <c r="E1" s="2"/>
      <c r="F1" s="2"/>
      <c r="G1" s="2"/>
      <c r="H1" s="2"/>
      <c r="I1" s="2"/>
      <c r="J1" s="2"/>
      <c r="K1" s="2"/>
      <c r="L1" s="43" t="s">
        <v>820</v>
      </c>
      <c r="M1" s="43" t="s">
        <v>820</v>
      </c>
    </row>
    <row r="2" spans="1:13">
      <c r="A2" s="2"/>
      <c r="B2" s="2"/>
      <c r="C2" s="2"/>
      <c r="D2" s="2"/>
      <c r="E2" s="2"/>
      <c r="F2" s="2"/>
      <c r="G2" s="2"/>
      <c r="H2" s="2"/>
      <c r="I2" s="2"/>
      <c r="J2" s="2"/>
      <c r="K2" s="2"/>
      <c r="L2" s="2"/>
      <c r="M2" s="2"/>
    </row>
    <row r="3" spans="1:13">
      <c r="A3" s="23" t="s">
        <v>26</v>
      </c>
      <c r="B3" s="51" t="s">
        <v>754</v>
      </c>
      <c r="C3" s="51" t="s">
        <v>755</v>
      </c>
      <c r="D3" s="51" t="s">
        <v>22</v>
      </c>
      <c r="E3" s="51" t="s">
        <v>23</v>
      </c>
      <c r="F3" s="51" t="s">
        <v>3</v>
      </c>
      <c r="G3" s="51" t="s">
        <v>700</v>
      </c>
      <c r="H3" s="51" t="s">
        <v>701</v>
      </c>
      <c r="I3" s="51" t="s">
        <v>702</v>
      </c>
      <c r="J3" s="51" t="s">
        <v>28</v>
      </c>
      <c r="K3" s="51" t="s">
        <v>790</v>
      </c>
      <c r="L3" s="51" t="s">
        <v>8729</v>
      </c>
      <c r="M3" s="51" t="s">
        <v>8730</v>
      </c>
    </row>
    <row r="4" spans="1:13">
      <c r="A4" s="55" t="str">
        <f>IF(ISBLANK(DATAFIELD[[#This Row],[Reference]]),TEXT(ROW(DATAFIELD[[#This Row],[Reference]]),"00000")&amp;"|--",TEXT(ROW(DATAFIELD[[#This Row],[ID]]),"00000")&amp;"|"&amp;DATAFIELD[[#This Row],[Name]])</f>
        <v>00004|Policy_id</v>
      </c>
      <c r="B4" s="52" t="s">
        <v>839</v>
      </c>
      <c r="C4" s="52" t="s">
        <v>841</v>
      </c>
      <c r="D4" s="52" t="s">
        <v>848</v>
      </c>
      <c r="E4" s="52" t="s">
        <v>749</v>
      </c>
      <c r="F4" s="52" t="s">
        <v>752</v>
      </c>
      <c r="G4" s="52" t="s">
        <v>703</v>
      </c>
      <c r="H4" s="52"/>
      <c r="I4" s="52">
        <v>4</v>
      </c>
      <c r="J4" s="52" t="s">
        <v>805</v>
      </c>
      <c r="K4" s="52" t="s">
        <v>832</v>
      </c>
      <c r="L4" s="55" t="str">
        <f>IF(ISBLANK(DATAFIELD[[#This Row],[Data Element ID]]),"-",IF(ISERROR(VLOOKUP(DATAFIELD[[#This Row],[Data Element ID]],DATA_ELEMENT[],2,FALSE)),"Not found",VLOOKUP(DATAFIELD[[#This Row],[Data Element ID]],DATA_ELEMENT[],2,FALSE)))</f>
        <v>PolicyIdentifier</v>
      </c>
      <c r="M4" s="55" t="str">
        <f>IF(ISBLANK(DATAFIELD[[#This Row],[Data Element ID]]),"-",IF(ISERROR(VLOOKUP(DATAFIELD[[#This Row],[Data Element ID]],DATA_ELEMENT[],3,FALSE)),"Not found",VLOOKUP(DATAFIELD[[#This Row],[Data Element ID]],DATA_ELEMENT[],3,FALSE)))</f>
        <v>Policy Identifier</v>
      </c>
    </row>
    <row r="5" spans="1:13">
      <c r="A5" s="55" t="str">
        <f>IF(ISBLANK(DATAFIELD[[#This Row],[Reference]]),TEXT(ROW(DATAFIELD[[#This Row],[Reference]]),"00000")&amp;"|--",TEXT(ROW(DATAFIELD[[#This Row],[ID]]),"00000")&amp;"|"&amp;DATAFIELD[[#This Row],[Name]])</f>
        <v>00005|Policy_num</v>
      </c>
      <c r="B5" s="52" t="s">
        <v>839</v>
      </c>
      <c r="C5" s="52" t="s">
        <v>841</v>
      </c>
      <c r="D5" s="52" t="s">
        <v>849</v>
      </c>
      <c r="E5" s="52" t="s">
        <v>750</v>
      </c>
      <c r="F5" s="52" t="s">
        <v>751</v>
      </c>
      <c r="G5" s="52" t="s">
        <v>704</v>
      </c>
      <c r="H5" s="52"/>
      <c r="I5" s="52">
        <v>100</v>
      </c>
      <c r="J5" s="52" t="s">
        <v>804</v>
      </c>
      <c r="K5" s="52" t="s">
        <v>833</v>
      </c>
      <c r="L5" s="55" t="str">
        <f>IF(ISBLANK(DATAFIELD[[#This Row],[Data Element ID]]),"-",IF(ISERROR(VLOOKUP(DATAFIELD[[#This Row],[Data Element ID]],DATA_ELEMENT[],2,FALSE)),"Not found",VLOOKUP(DATAFIELD[[#This Row],[Data Element ID]],DATA_ELEMENT[],2,FALSE)))</f>
        <v>PolicyNumber</v>
      </c>
      <c r="M5" s="55" t="str">
        <f>IF(ISBLANK(DATAFIELD[[#This Row],[Data Element ID]]),"-",IF(ISERROR(VLOOKUP(DATAFIELD[[#This Row],[Data Element ID]],DATA_ELEMENT[],3,FALSE)),"Not found",VLOOKUP(DATAFIELD[[#This Row],[Data Element ID]],DATA_ELEMENT[],3,FALSE)))</f>
        <v>Policy Number</v>
      </c>
    </row>
    <row r="6" spans="1:13">
      <c r="A6" s="55" t="str">
        <f>IF(ISBLANK(DATAFIELD[[#This Row],[Reference]]),TEXT(ROW(DATAFIELD[[#This Row],[Reference]]),"00000")&amp;"|--",TEXT(ROW(DATAFIELD[[#This Row],[ID]]),"00000")&amp;"|"&amp;DATAFIELD[[#This Row],[Name]])</f>
        <v>00006|Claim_num</v>
      </c>
      <c r="B6" s="52" t="s">
        <v>8813</v>
      </c>
      <c r="C6" s="52" t="s">
        <v>8814</v>
      </c>
      <c r="D6" s="52" t="s">
        <v>8815</v>
      </c>
      <c r="E6" s="52" t="s">
        <v>8816</v>
      </c>
      <c r="F6" s="52" t="s">
        <v>8817</v>
      </c>
      <c r="G6" s="52" t="s">
        <v>8818</v>
      </c>
      <c r="H6" s="52" t="s">
        <v>71</v>
      </c>
      <c r="I6" s="52">
        <v>100</v>
      </c>
      <c r="J6" s="52" t="s">
        <v>804</v>
      </c>
      <c r="K6" s="52" t="s">
        <v>8819</v>
      </c>
      <c r="L6" s="55" t="str">
        <f>IF(ISBLANK(DATAFIELD[[#This Row],[Data Element ID]]),"-",IF(ISERROR(VLOOKUP(DATAFIELD[[#This Row],[Data Element ID]],DATA_ELEMENT[],2,FALSE)),"Not found",VLOOKUP(DATAFIELD[[#This Row],[Data Element ID]],DATA_ELEMENT[],2,FALSE)))</f>
        <v>Claim</v>
      </c>
      <c r="M6" s="55" t="str">
        <f>IF(ISBLANK(DATAFIELD[[#This Row],[Data Element ID]]),"-",IF(ISERROR(VLOOKUP(DATAFIELD[[#This Row],[Data Element ID]],DATA_ELEMENT[],3,FALSE)),"Not found",VLOOKUP(DATAFIELD[[#This Row],[Data Element ID]],DATA_ELEMENT[],3,FALSE)))</f>
        <v>Number</v>
      </c>
    </row>
    <row r="7" spans="1:13">
      <c r="A7" s="45" t="str">
        <f>IF(ISBLANK(DATAFIELD[[#This Row],[Reference]]),TEXT(ROW(DATAFIELD[[#This Row],[Reference]]),"00000")&amp;"|--",TEXT(ROW(DATAFIELD[[#This Row],[ID]]),"00000")&amp;"|"&amp;DATAFIELD[[#This Row],[Name]])</f>
        <v>00007|--</v>
      </c>
      <c r="B7" s="52"/>
      <c r="C7" s="52"/>
      <c r="D7" s="52"/>
      <c r="E7" s="52"/>
      <c r="F7" s="52"/>
      <c r="G7" s="52"/>
      <c r="H7" s="52"/>
      <c r="I7" s="52"/>
      <c r="J7" s="52"/>
      <c r="K7" s="52"/>
      <c r="L7" s="55" t="str">
        <f>IF(ISBLANK(DATAFIELD[[#This Row],[Data Element ID]]),"-",IF(ISERROR(VLOOKUP(DATAFIELD[[#This Row],[Data Element ID]],DATA_ELEMENT[],2,FALSE)),"Not found",VLOOKUP(DATAFIELD[[#This Row],[Data Element ID]],DATA_ELEMENT[],2,FALSE)))</f>
        <v>-</v>
      </c>
      <c r="M7" s="55" t="str">
        <f>IF(ISBLANK(DATAFIELD[[#This Row],[Data Element ID]]),"-",IF(ISERROR(VLOOKUP(DATAFIELD[[#This Row],[Data Element ID]],DATA_ELEMENT[],3,FALSE)),"Not found",VLOOKUP(DATAFIELD[[#This Row],[Data Element ID]],DATA_ELEMENT[],3,FALSE)))</f>
        <v>-</v>
      </c>
    </row>
    <row r="8" spans="1:13">
      <c r="A8" s="45" t="str">
        <f>IF(ISBLANK(DATAFIELD[[#This Row],[Reference]]),TEXT(ROW(DATAFIELD[[#This Row],[Reference]]),"00000")&amp;"|--",TEXT(ROW(DATAFIELD[[#This Row],[ID]]),"00000")&amp;"|"&amp;DATAFIELD[[#This Row],[Name]])</f>
        <v>00008|--</v>
      </c>
      <c r="B8" s="52"/>
      <c r="C8" s="52"/>
      <c r="D8" s="52"/>
      <c r="E8" s="52"/>
      <c r="F8" s="52"/>
      <c r="G8" s="52"/>
      <c r="H8" s="52"/>
      <c r="I8" s="52"/>
      <c r="J8" s="52"/>
      <c r="K8" s="52"/>
      <c r="L8" s="55" t="str">
        <f>IF(ISBLANK(DATAFIELD[[#This Row],[Data Element ID]]),"-",IF(ISERROR(VLOOKUP(DATAFIELD[[#This Row],[Data Element ID]],DATA_ELEMENT[],2,FALSE)),"Not found",VLOOKUP(DATAFIELD[[#This Row],[Data Element ID]],DATA_ELEMENT[],2,FALSE)))</f>
        <v>-</v>
      </c>
      <c r="M8" s="55" t="str">
        <f>IF(ISBLANK(DATAFIELD[[#This Row],[Data Element ID]]),"-",IF(ISERROR(VLOOKUP(DATAFIELD[[#This Row],[Data Element ID]],DATA_ELEMENT[],3,FALSE)),"Not found",VLOOKUP(DATAFIELD[[#This Row],[Data Element ID]],DATA_ELEMENT[],3,FALSE)))</f>
        <v>-</v>
      </c>
    </row>
    <row r="9" spans="1:13">
      <c r="A9" s="45" t="str">
        <f>IF(ISBLANK(DATAFIELD[[#This Row],[Reference]]),TEXT(ROW(DATAFIELD[[#This Row],[Reference]]),"00000")&amp;"|--",TEXT(ROW(DATAFIELD[[#This Row],[ID]]),"00000")&amp;"|"&amp;DATAFIELD[[#This Row],[Name]])</f>
        <v>00009|--</v>
      </c>
      <c r="B9" s="52"/>
      <c r="C9" s="52"/>
      <c r="D9" s="52"/>
      <c r="E9" s="52"/>
      <c r="F9" s="52"/>
      <c r="G9" s="52"/>
      <c r="H9" s="52"/>
      <c r="I9" s="52"/>
      <c r="J9" s="52"/>
      <c r="K9" s="52"/>
      <c r="L9" s="55" t="str">
        <f>IF(ISBLANK(DATAFIELD[[#This Row],[Data Element ID]]),"-",IF(ISERROR(VLOOKUP(DATAFIELD[[#This Row],[Data Element ID]],DATA_ELEMENT[],2,FALSE)),"Not found",VLOOKUP(DATAFIELD[[#This Row],[Data Element ID]],DATA_ELEMENT[],2,FALSE)))</f>
        <v>-</v>
      </c>
      <c r="M9" s="55" t="str">
        <f>IF(ISBLANK(DATAFIELD[[#This Row],[Data Element ID]]),"-",IF(ISERROR(VLOOKUP(DATAFIELD[[#This Row],[Data Element ID]],DATA_ELEMENT[],3,FALSE)),"Not found",VLOOKUP(DATAFIELD[[#This Row],[Data Element ID]],DATA_ELEMENT[],3,FALSE)))</f>
        <v>-</v>
      </c>
    </row>
    <row r="10" spans="1:13">
      <c r="A10" s="45" t="str">
        <f>IF(ISBLANK(DATAFIELD[[#This Row],[Reference]]),TEXT(ROW(DATAFIELD[[#This Row],[Reference]]),"00000")&amp;"|--",TEXT(ROW(DATAFIELD[[#This Row],[ID]]),"00000")&amp;"|"&amp;DATAFIELD[[#This Row],[Name]])</f>
        <v>00010|--</v>
      </c>
      <c r="B10" s="52"/>
      <c r="C10" s="52"/>
      <c r="D10" s="52"/>
      <c r="E10" s="52"/>
      <c r="F10" s="52"/>
      <c r="G10" s="52"/>
      <c r="H10" s="52"/>
      <c r="I10" s="52"/>
      <c r="J10" s="52"/>
      <c r="K10" s="52"/>
      <c r="L10" s="55" t="str">
        <f>IF(ISBLANK(DATAFIELD[[#This Row],[Data Element ID]]),"-",IF(ISERROR(VLOOKUP(DATAFIELD[[#This Row],[Data Element ID]],DATA_ELEMENT[],2,FALSE)),"Not found",VLOOKUP(DATAFIELD[[#This Row],[Data Element ID]],DATA_ELEMENT[],2,FALSE)))</f>
        <v>-</v>
      </c>
      <c r="M10" s="55" t="str">
        <f>IF(ISBLANK(DATAFIELD[[#This Row],[Data Element ID]]),"-",IF(ISERROR(VLOOKUP(DATAFIELD[[#This Row],[Data Element ID]],DATA_ELEMENT[],3,FALSE)),"Not found",VLOOKUP(DATAFIELD[[#This Row],[Data Element ID]],DATA_ELEMENT[],3,FALSE)))</f>
        <v>-</v>
      </c>
    </row>
    <row r="11" spans="1:13">
      <c r="A11" s="45" t="str">
        <f>IF(ISBLANK(DATAFIELD[[#This Row],[Reference]]),TEXT(ROW(DATAFIELD[[#This Row],[Reference]]),"00000")&amp;"|--",TEXT(ROW(DATAFIELD[[#This Row],[ID]]),"00000")&amp;"|"&amp;DATAFIELD[[#This Row],[Name]])</f>
        <v>00011|--</v>
      </c>
      <c r="B11" s="52"/>
      <c r="C11" s="52"/>
      <c r="D11" s="52"/>
      <c r="E11" s="52"/>
      <c r="F11" s="52"/>
      <c r="G11" s="52"/>
      <c r="H11" s="52"/>
      <c r="I11" s="52"/>
      <c r="J11" s="52"/>
      <c r="K11" s="52"/>
      <c r="L11" s="55" t="str">
        <f>IF(ISBLANK(DATAFIELD[[#This Row],[Data Element ID]]),"-",IF(ISERROR(VLOOKUP(DATAFIELD[[#This Row],[Data Element ID]],DATA_ELEMENT[],2,FALSE)),"Not found",VLOOKUP(DATAFIELD[[#This Row],[Data Element ID]],DATA_ELEMENT[],2,FALSE)))</f>
        <v>-</v>
      </c>
      <c r="M11" s="55" t="str">
        <f>IF(ISBLANK(DATAFIELD[[#This Row],[Data Element ID]]),"-",IF(ISERROR(VLOOKUP(DATAFIELD[[#This Row],[Data Element ID]],DATA_ELEMENT[],3,FALSE)),"Not found",VLOOKUP(DATAFIELD[[#This Row],[Data Element ID]],DATA_ELEMENT[],3,FALSE)))</f>
        <v>-</v>
      </c>
    </row>
    <row r="12" spans="1:13">
      <c r="A12" s="45" t="str">
        <f>IF(ISBLANK(DATAFIELD[[#This Row],[Reference]]),TEXT(ROW(DATAFIELD[[#This Row],[Reference]]),"00000")&amp;"|--",TEXT(ROW(DATAFIELD[[#This Row],[ID]]),"00000")&amp;"|"&amp;DATAFIELD[[#This Row],[Name]])</f>
        <v>00012|--</v>
      </c>
      <c r="B12" s="52"/>
      <c r="C12" s="52"/>
      <c r="D12" s="52"/>
      <c r="E12" s="52"/>
      <c r="F12" s="52"/>
      <c r="G12" s="52"/>
      <c r="H12" s="52"/>
      <c r="I12" s="52"/>
      <c r="J12" s="52"/>
      <c r="K12" s="52"/>
      <c r="L12" s="55" t="str">
        <f>IF(ISBLANK(DATAFIELD[[#This Row],[Data Element ID]]),"-",IF(ISERROR(VLOOKUP(DATAFIELD[[#This Row],[Data Element ID]],DATA_ELEMENT[],2,FALSE)),"Not found",VLOOKUP(DATAFIELD[[#This Row],[Data Element ID]],DATA_ELEMENT[],2,FALSE)))</f>
        <v>-</v>
      </c>
      <c r="M12" s="55" t="str">
        <f>IF(ISBLANK(DATAFIELD[[#This Row],[Data Element ID]]),"-",IF(ISERROR(VLOOKUP(DATAFIELD[[#This Row],[Data Element ID]],DATA_ELEMENT[],3,FALSE)),"Not found",VLOOKUP(DATAFIELD[[#This Row],[Data Element ID]],DATA_ELEMENT[],3,FALSE)))</f>
        <v>-</v>
      </c>
    </row>
    <row r="13" spans="1:13">
      <c r="A13" s="45" t="str">
        <f>IF(ISBLANK(DATAFIELD[[#This Row],[Reference]]),TEXT(ROW(DATAFIELD[[#This Row],[Reference]]),"00000")&amp;"|--",TEXT(ROW(DATAFIELD[[#This Row],[ID]]),"00000")&amp;"|"&amp;DATAFIELD[[#This Row],[Name]])</f>
        <v>00013|--</v>
      </c>
      <c r="B13" s="52"/>
      <c r="C13" s="52"/>
      <c r="D13" s="52"/>
      <c r="E13" s="52"/>
      <c r="F13" s="52"/>
      <c r="G13" s="52"/>
      <c r="H13" s="52"/>
      <c r="I13" s="52"/>
      <c r="J13" s="52"/>
      <c r="K13" s="52"/>
      <c r="L13" s="55" t="str">
        <f>IF(ISBLANK(DATAFIELD[[#This Row],[Data Element ID]]),"-",IF(ISERROR(VLOOKUP(DATAFIELD[[#This Row],[Data Element ID]],DATA_ELEMENT[],2,FALSE)),"Not found",VLOOKUP(DATAFIELD[[#This Row],[Data Element ID]],DATA_ELEMENT[],2,FALSE)))</f>
        <v>-</v>
      </c>
      <c r="M13" s="55" t="str">
        <f>IF(ISBLANK(DATAFIELD[[#This Row],[Data Element ID]]),"-",IF(ISERROR(VLOOKUP(DATAFIELD[[#This Row],[Data Element ID]],DATA_ELEMENT[],3,FALSE)),"Not found",VLOOKUP(DATAFIELD[[#This Row],[Data Element ID]],DATA_ELEMENT[],3,FALSE)))</f>
        <v>-</v>
      </c>
    </row>
    <row r="14" spans="1:13">
      <c r="A14" s="45" t="str">
        <f>IF(ISBLANK(DATAFIELD[[#This Row],[Reference]]),TEXT(ROW(DATAFIELD[[#This Row],[Reference]]),"00000")&amp;"|--",TEXT(ROW(DATAFIELD[[#This Row],[ID]]),"00000")&amp;"|"&amp;DATAFIELD[[#This Row],[Name]])</f>
        <v>00014|--</v>
      </c>
      <c r="B14" s="52"/>
      <c r="C14" s="52"/>
      <c r="D14" s="52"/>
      <c r="E14" s="52"/>
      <c r="F14" s="52"/>
      <c r="G14" s="52"/>
      <c r="H14" s="52"/>
      <c r="I14" s="52"/>
      <c r="J14" s="52"/>
      <c r="K14" s="52"/>
      <c r="L14" s="55" t="str">
        <f>IF(ISBLANK(DATAFIELD[[#This Row],[Data Element ID]]),"-",IF(ISERROR(VLOOKUP(DATAFIELD[[#This Row],[Data Element ID]],DATA_ELEMENT[],2,FALSE)),"Not found",VLOOKUP(DATAFIELD[[#This Row],[Data Element ID]],DATA_ELEMENT[],2,FALSE)))</f>
        <v>-</v>
      </c>
      <c r="M14" s="55" t="str">
        <f>IF(ISBLANK(DATAFIELD[[#This Row],[Data Element ID]]),"-",IF(ISERROR(VLOOKUP(DATAFIELD[[#This Row],[Data Element ID]],DATA_ELEMENT[],3,FALSE)),"Not found",VLOOKUP(DATAFIELD[[#This Row],[Data Element ID]],DATA_ELEMENT[],3,FALSE)))</f>
        <v>-</v>
      </c>
    </row>
    <row r="15" spans="1:13">
      <c r="A15" s="45" t="str">
        <f>IF(ISBLANK(DATAFIELD[[#This Row],[Reference]]),TEXT(ROW(DATAFIELD[[#This Row],[Reference]]),"00000")&amp;"|--",TEXT(ROW(DATAFIELD[[#This Row],[ID]]),"00000")&amp;"|"&amp;DATAFIELD[[#This Row],[Name]])</f>
        <v>00015|--</v>
      </c>
      <c r="B15" s="52"/>
      <c r="C15" s="52"/>
      <c r="D15" s="52"/>
      <c r="E15" s="52"/>
      <c r="F15" s="52"/>
      <c r="G15" s="52"/>
      <c r="H15" s="52"/>
      <c r="I15" s="52"/>
      <c r="J15" s="52"/>
      <c r="K15" s="52"/>
      <c r="L15" s="55" t="str">
        <f>IF(ISBLANK(DATAFIELD[[#This Row],[Data Element ID]]),"-",IF(ISERROR(VLOOKUP(DATAFIELD[[#This Row],[Data Element ID]],DATA_ELEMENT[],2,FALSE)),"Not found",VLOOKUP(DATAFIELD[[#This Row],[Data Element ID]],DATA_ELEMENT[],2,FALSE)))</f>
        <v>-</v>
      </c>
      <c r="M15" s="55" t="str">
        <f>IF(ISBLANK(DATAFIELD[[#This Row],[Data Element ID]]),"-",IF(ISERROR(VLOOKUP(DATAFIELD[[#This Row],[Data Element ID]],DATA_ELEMENT[],3,FALSE)),"Not found",VLOOKUP(DATAFIELD[[#This Row],[Data Element ID]],DATA_ELEMENT[],3,FALSE)))</f>
        <v>-</v>
      </c>
    </row>
    <row r="16" spans="1:13">
      <c r="A16" s="45" t="str">
        <f>IF(ISBLANK(DATAFIELD[[#This Row],[Reference]]),TEXT(ROW(DATAFIELD[[#This Row],[Reference]]),"00000")&amp;"|--",TEXT(ROW(DATAFIELD[[#This Row],[ID]]),"00000")&amp;"|"&amp;DATAFIELD[[#This Row],[Name]])</f>
        <v>00016|--</v>
      </c>
      <c r="B16" s="52"/>
      <c r="C16" s="52"/>
      <c r="D16" s="52"/>
      <c r="E16" s="52"/>
      <c r="F16" s="52"/>
      <c r="G16" s="52"/>
      <c r="H16" s="52"/>
      <c r="I16" s="52"/>
      <c r="J16" s="52"/>
      <c r="K16" s="52"/>
      <c r="L16" s="55" t="str">
        <f>IF(ISBLANK(DATAFIELD[[#This Row],[Data Element ID]]),"-",IF(ISERROR(VLOOKUP(DATAFIELD[[#This Row],[Data Element ID]],DATA_ELEMENT[],2,FALSE)),"Not found",VLOOKUP(DATAFIELD[[#This Row],[Data Element ID]],DATA_ELEMENT[],2,FALSE)))</f>
        <v>-</v>
      </c>
      <c r="M16" s="55" t="str">
        <f>IF(ISBLANK(DATAFIELD[[#This Row],[Data Element ID]]),"-",IF(ISERROR(VLOOKUP(DATAFIELD[[#This Row],[Data Element ID]],DATA_ELEMENT[],3,FALSE)),"Not found",VLOOKUP(DATAFIELD[[#This Row],[Data Element ID]],DATA_ELEMENT[],3,FALSE)))</f>
        <v>-</v>
      </c>
    </row>
    <row r="17" spans="1:13">
      <c r="A17" s="45" t="str">
        <f>IF(ISBLANK(DATAFIELD[[#This Row],[Reference]]),TEXT(ROW(DATAFIELD[[#This Row],[Reference]]),"00000")&amp;"|--",TEXT(ROW(DATAFIELD[[#This Row],[ID]]),"00000")&amp;"|"&amp;DATAFIELD[[#This Row],[Name]])</f>
        <v>00017|--</v>
      </c>
      <c r="B17" s="52"/>
      <c r="C17" s="52"/>
      <c r="D17" s="52"/>
      <c r="E17" s="52"/>
      <c r="F17" s="52"/>
      <c r="G17" s="52"/>
      <c r="H17" s="52"/>
      <c r="I17" s="52"/>
      <c r="J17" s="52"/>
      <c r="K17" s="52"/>
      <c r="L17" s="55" t="str">
        <f>IF(ISBLANK(DATAFIELD[[#This Row],[Data Element ID]]),"-",IF(ISERROR(VLOOKUP(DATAFIELD[[#This Row],[Data Element ID]],DATA_ELEMENT[],2,FALSE)),"Not found",VLOOKUP(DATAFIELD[[#This Row],[Data Element ID]],DATA_ELEMENT[],2,FALSE)))</f>
        <v>-</v>
      </c>
      <c r="M17" s="55" t="str">
        <f>IF(ISBLANK(DATAFIELD[[#This Row],[Data Element ID]]),"-",IF(ISERROR(VLOOKUP(DATAFIELD[[#This Row],[Data Element ID]],DATA_ELEMENT[],3,FALSE)),"Not found",VLOOKUP(DATAFIELD[[#This Row],[Data Element ID]],DATA_ELEMENT[],3,FALSE)))</f>
        <v>-</v>
      </c>
    </row>
    <row r="18" spans="1:13">
      <c r="A18" s="45" t="str">
        <f>IF(ISBLANK(DATAFIELD[[#This Row],[Reference]]),TEXT(ROW(DATAFIELD[[#This Row],[Reference]]),"00000")&amp;"|--",TEXT(ROW(DATAFIELD[[#This Row],[ID]]),"00000")&amp;"|"&amp;DATAFIELD[[#This Row],[Name]])</f>
        <v>00018|--</v>
      </c>
      <c r="B18" s="52"/>
      <c r="C18" s="52"/>
      <c r="D18" s="52"/>
      <c r="E18" s="52"/>
      <c r="F18" s="52"/>
      <c r="G18" s="52"/>
      <c r="H18" s="52"/>
      <c r="I18" s="52"/>
      <c r="J18" s="52"/>
      <c r="K18" s="52"/>
      <c r="L18" s="55" t="str">
        <f>IF(ISBLANK(DATAFIELD[[#This Row],[Data Element ID]]),"-",IF(ISERROR(VLOOKUP(DATAFIELD[[#This Row],[Data Element ID]],DATA_ELEMENT[],2,FALSE)),"Not found",VLOOKUP(DATAFIELD[[#This Row],[Data Element ID]],DATA_ELEMENT[],2,FALSE)))</f>
        <v>-</v>
      </c>
      <c r="M18" s="55" t="str">
        <f>IF(ISBLANK(DATAFIELD[[#This Row],[Data Element ID]]),"-",IF(ISERROR(VLOOKUP(DATAFIELD[[#This Row],[Data Element ID]],DATA_ELEMENT[],3,FALSE)),"Not found",VLOOKUP(DATAFIELD[[#This Row],[Data Element ID]],DATA_ELEMENT[],3,FALSE)))</f>
        <v>-</v>
      </c>
    </row>
    <row r="19" spans="1:13">
      <c r="A19" s="45" t="str">
        <f>IF(ISBLANK(DATAFIELD[[#This Row],[Reference]]),TEXT(ROW(DATAFIELD[[#This Row],[Reference]]),"00000")&amp;"|--",TEXT(ROW(DATAFIELD[[#This Row],[ID]]),"00000")&amp;"|"&amp;DATAFIELD[[#This Row],[Name]])</f>
        <v>00019|--</v>
      </c>
      <c r="B19" s="52"/>
      <c r="C19" s="52"/>
      <c r="D19" s="52"/>
      <c r="E19" s="52"/>
      <c r="F19" s="52"/>
      <c r="G19" s="52"/>
      <c r="H19" s="52"/>
      <c r="I19" s="52"/>
      <c r="J19" s="52"/>
      <c r="K19" s="52"/>
      <c r="L19" s="55" t="str">
        <f>IF(ISBLANK(DATAFIELD[[#This Row],[Data Element ID]]),"-",IF(ISERROR(VLOOKUP(DATAFIELD[[#This Row],[Data Element ID]],DATA_ELEMENT[],2,FALSE)),"Not found",VLOOKUP(DATAFIELD[[#This Row],[Data Element ID]],DATA_ELEMENT[],2,FALSE)))</f>
        <v>-</v>
      </c>
      <c r="M19" s="55" t="str">
        <f>IF(ISBLANK(DATAFIELD[[#This Row],[Data Element ID]]),"-",IF(ISERROR(VLOOKUP(DATAFIELD[[#This Row],[Data Element ID]],DATA_ELEMENT[],3,FALSE)),"Not found",VLOOKUP(DATAFIELD[[#This Row],[Data Element ID]],DATA_ELEMENT[],3,FALSE)))</f>
        <v>-</v>
      </c>
    </row>
    <row r="20" spans="1:13">
      <c r="A20" s="45" t="str">
        <f>IF(ISBLANK(DATAFIELD[[#This Row],[Reference]]),TEXT(ROW(DATAFIELD[[#This Row],[Reference]]),"00000")&amp;"|--",TEXT(ROW(DATAFIELD[[#This Row],[ID]]),"00000")&amp;"|"&amp;DATAFIELD[[#This Row],[Name]])</f>
        <v>00020|--</v>
      </c>
      <c r="B20" s="52"/>
      <c r="C20" s="52"/>
      <c r="D20" s="52"/>
      <c r="E20" s="52"/>
      <c r="F20" s="52"/>
      <c r="G20" s="52"/>
      <c r="H20" s="52"/>
      <c r="I20" s="52"/>
      <c r="J20" s="52"/>
      <c r="K20" s="52"/>
      <c r="L20" s="55" t="str">
        <f>IF(ISBLANK(DATAFIELD[[#This Row],[Data Element ID]]),"-",IF(ISERROR(VLOOKUP(DATAFIELD[[#This Row],[Data Element ID]],DATA_ELEMENT[],2,FALSE)),"Not found",VLOOKUP(DATAFIELD[[#This Row],[Data Element ID]],DATA_ELEMENT[],2,FALSE)))</f>
        <v>-</v>
      </c>
      <c r="M20" s="55" t="str">
        <f>IF(ISBLANK(DATAFIELD[[#This Row],[Data Element ID]]),"-",IF(ISERROR(VLOOKUP(DATAFIELD[[#This Row],[Data Element ID]],DATA_ELEMENT[],3,FALSE)),"Not found",VLOOKUP(DATAFIELD[[#This Row],[Data Element ID]],DATA_ELEMENT[],3,FALSE)))</f>
        <v>-</v>
      </c>
    </row>
  </sheetData>
  <sheetProtection sheet="1" sort="0" autoFilter="0"/>
  <dataValidations count="6">
    <dataValidation type="list" errorStyle="information" allowBlank="1" showInputMessage="1" showErrorMessage="1" errorTitle="Entry not allowed" error="Please update LOVs" sqref="H4:H20" xr:uid="{00000000-0002-0000-0D00-000000000000}">
      <formula1>BOOLEAN</formula1>
    </dataValidation>
    <dataValidation type="list" errorStyle="information" allowBlank="1" showInputMessage="1" showErrorMessage="1" errorTitle="Entry not allowed" sqref="C4:C20" xr:uid="{00000000-0002-0000-0D00-000002000000}">
      <formula1>INDIRECT("DATASET[ID]")</formula1>
    </dataValidation>
    <dataValidation type="list" errorStyle="information" allowBlank="1" showInputMessage="1" showErrorMessage="1" errorTitle="Entry not allowed" error="Please update LOVs" sqref="J4:J20" xr:uid="{00000000-0002-0000-0D00-000005000000}">
      <formula1>PERIND</formula1>
    </dataValidation>
    <dataValidation type="list" allowBlank="1" showInputMessage="1" showErrorMessage="1" sqref="B4:B20" xr:uid="{DD7EFFF0-AF99-4490-9700-141BBE63A943}">
      <formula1>INDIRECT("DATABASE[ID]")</formula1>
    </dataValidation>
    <dataValidation type="list" errorStyle="information" allowBlank="1" showInputMessage="1" showErrorMessage="1" errorTitle="Entry not allowed" error="Please update LOVs" sqref="K4:K20" xr:uid="{E6E3C004-D0C6-4856-A8F3-144EB719C8F9}">
      <formula1>INDIRECT("DATA_ELEMENT[ID]")</formula1>
    </dataValidation>
    <dataValidation errorStyle="information" allowBlank="1" showInputMessage="1" showErrorMessage="1" errorTitle="Entry not allowed" error="Please update LOVs" sqref="L4:M20" xr:uid="{EB292BA5-EC16-42BC-84B7-CB8F7EE02489}"/>
  </dataValidations>
  <pageMargins left="0.7" right="0.7" top="0.75" bottom="0.75" header="0.3" footer="0.3"/>
  <pageSetup paperSize="9" orientation="portrait" r:id="rId1"/>
  <drawing r:id="rId2"/>
  <tableParts count="1">
    <tablePart r:id="rId3"/>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Feuil15"/>
  <dimension ref="A1:H10"/>
  <sheetViews>
    <sheetView workbookViewId="0"/>
  </sheetViews>
  <sheetFormatPr baseColWidth="10" defaultColWidth="11.42578125" defaultRowHeight="15"/>
  <cols>
    <col min="1" max="1" width="17.28515625" customWidth="1"/>
    <col min="2" max="2" width="16.28515625" customWidth="1"/>
    <col min="3" max="3" width="51.28515625" customWidth="1"/>
    <col min="4" max="4" width="65.140625" customWidth="1"/>
    <col min="5" max="5" width="28.140625" customWidth="1"/>
    <col min="6" max="6" width="31.140625" bestFit="1" customWidth="1"/>
    <col min="7" max="7" width="23.140625" bestFit="1" customWidth="1"/>
    <col min="8" max="8" width="33.140625" customWidth="1"/>
    <col min="9" max="9" width="26.5703125" customWidth="1"/>
  </cols>
  <sheetData>
    <row r="1" spans="1:8">
      <c r="A1" s="1"/>
      <c r="B1" s="1"/>
      <c r="C1" s="1"/>
      <c r="D1" s="1"/>
      <c r="E1" s="1"/>
      <c r="F1" s="1"/>
      <c r="G1" s="1"/>
      <c r="H1" s="1"/>
    </row>
    <row r="2" spans="1:8">
      <c r="A2" s="1"/>
      <c r="B2" s="1"/>
      <c r="C2" s="1"/>
      <c r="D2" s="1"/>
      <c r="E2" s="1"/>
      <c r="F2" s="1"/>
      <c r="G2" s="1"/>
      <c r="H2" s="1"/>
    </row>
    <row r="3" spans="1:8">
      <c r="A3" s="58" t="s">
        <v>26</v>
      </c>
      <c r="B3" s="56" t="s">
        <v>22</v>
      </c>
      <c r="C3" s="56" t="s">
        <v>23</v>
      </c>
      <c r="D3" s="56" t="s">
        <v>3</v>
      </c>
      <c r="E3" s="56" t="s">
        <v>724</v>
      </c>
      <c r="F3" s="56" t="s">
        <v>715</v>
      </c>
      <c r="G3" s="56" t="s">
        <v>857</v>
      </c>
      <c r="H3" s="56" t="s">
        <v>825</v>
      </c>
    </row>
    <row r="4" spans="1:8" ht="45">
      <c r="A4" s="45" t="str">
        <f>IF(ISBLANK(BUSINES_DQ_RULE[[#This Row],[Reference]]),TEXT(ROW(BUSINES_DQ_RULE[[#This Row],[Reference]]),"00000")&amp;"|--",TEXT(ROW(BUSINES_DQ_RULE[[#This Row],[ID]]),"00000")&amp;"|"&amp;BUSINES_DQ_RULE[[#This Row],[Reference]])</f>
        <v>00004|CA001</v>
      </c>
      <c r="B4" s="26" t="s">
        <v>716</v>
      </c>
      <c r="C4" s="27" t="s">
        <v>736</v>
      </c>
      <c r="D4" s="27" t="s">
        <v>718</v>
      </c>
      <c r="E4" s="26"/>
      <c r="F4" s="26" t="s">
        <v>728</v>
      </c>
      <c r="G4" s="26" t="s">
        <v>840</v>
      </c>
      <c r="H4" s="26" t="s">
        <v>827</v>
      </c>
    </row>
    <row r="5" spans="1:8" ht="45">
      <c r="A5" s="45" t="str">
        <f>IF(ISBLANK(BUSINES_DQ_RULE[[#This Row],[Reference]]),TEXT(ROW(BUSINES_DQ_RULE[[#This Row],[Reference]]),"00000")&amp;"|--",TEXT(ROW(BUSINES_DQ_RULE[[#This Row],[ID]]),"00000")&amp;"|"&amp;BUSINES_DQ_RULE[[#This Row],[Reference]])</f>
        <v>00005|CA002</v>
      </c>
      <c r="B5" s="26" t="s">
        <v>717</v>
      </c>
      <c r="C5" s="27" t="s">
        <v>737</v>
      </c>
      <c r="D5" s="27" t="s">
        <v>720</v>
      </c>
      <c r="E5" s="26"/>
      <c r="F5" s="26" t="s">
        <v>728</v>
      </c>
      <c r="G5" s="26" t="s">
        <v>840</v>
      </c>
      <c r="H5" s="26" t="s">
        <v>827</v>
      </c>
    </row>
    <row r="6" spans="1:8" ht="112.5">
      <c r="A6" s="45" t="str">
        <f>IF(ISBLANK(BUSINES_DQ_RULE[[#This Row],[Reference]]),TEXT(ROW(BUSINES_DQ_RULE[[#This Row],[Reference]]),"00000")&amp;"|--",TEXT(ROW(BUSINES_DQ_RULE[[#This Row],[ID]]),"00000")&amp;"|"&amp;BUSINES_DQ_RULE[[#This Row],[Reference]])</f>
        <v>00006|CA003</v>
      </c>
      <c r="B6" s="26" t="s">
        <v>719</v>
      </c>
      <c r="C6" s="27" t="s">
        <v>735</v>
      </c>
      <c r="D6" s="27" t="s">
        <v>726</v>
      </c>
      <c r="E6" s="57" t="s">
        <v>725</v>
      </c>
      <c r="F6" s="26" t="s">
        <v>729</v>
      </c>
      <c r="G6" s="26" t="s">
        <v>840</v>
      </c>
      <c r="H6" s="26" t="s">
        <v>827</v>
      </c>
    </row>
    <row r="7" spans="1:8">
      <c r="A7" s="45" t="str">
        <f>IF(ISBLANK(BUSINES_DQ_RULE[[#This Row],[Reference]]),TEXT(ROW(BUSINES_DQ_RULE[[#This Row],[Reference]]),"00000")&amp;"|--",TEXT(ROW(BUSINES_DQ_RULE[[#This Row],[ID]]),"00000")&amp;"|"&amp;BUSINES_DQ_RULE[[#This Row],[Reference]])</f>
        <v>00007|CA004</v>
      </c>
      <c r="B7" s="26" t="s">
        <v>8772</v>
      </c>
      <c r="C7" s="27" t="s">
        <v>8774</v>
      </c>
      <c r="D7" s="27" t="s">
        <v>8777</v>
      </c>
      <c r="E7" s="50"/>
      <c r="F7" s="26" t="s">
        <v>728</v>
      </c>
      <c r="G7" s="26" t="s">
        <v>831</v>
      </c>
      <c r="H7" s="26" t="s">
        <v>826</v>
      </c>
    </row>
    <row r="8" spans="1:8">
      <c r="A8" s="45" t="str">
        <f>IF(ISBLANK(BUSINES_DQ_RULE[[#This Row],[Reference]]),TEXT(ROW(BUSINES_DQ_RULE[[#This Row],[Reference]]),"00000")&amp;"|--",TEXT(ROW(BUSINES_DQ_RULE[[#This Row],[ID]]),"00000")&amp;"|"&amp;BUSINES_DQ_RULE[[#This Row],[Reference]])</f>
        <v>00008|--</v>
      </c>
      <c r="B8" s="26"/>
      <c r="C8" s="27"/>
      <c r="D8" s="27"/>
      <c r="E8" s="50"/>
      <c r="F8" s="26"/>
      <c r="G8" s="26"/>
      <c r="H8" s="26"/>
    </row>
    <row r="9" spans="1:8">
      <c r="A9" s="45" t="str">
        <f>IF(ISBLANK(BUSINES_DQ_RULE[[#This Row],[Reference]]),TEXT(ROW(BUSINES_DQ_RULE[[#This Row],[Reference]]),"00000")&amp;"|--",TEXT(ROW(BUSINES_DQ_RULE[[#This Row],[ID]]),"00000")&amp;"|"&amp;BUSINES_DQ_RULE[[#This Row],[Reference]])</f>
        <v>00009|--</v>
      </c>
      <c r="B9" s="26"/>
      <c r="C9" s="27"/>
      <c r="D9" s="27"/>
      <c r="E9" s="50"/>
      <c r="F9" s="26"/>
      <c r="G9" s="26"/>
      <c r="H9" s="26"/>
    </row>
    <row r="10" spans="1:8">
      <c r="A10" s="45" t="str">
        <f>IF(ISBLANK(BUSINES_DQ_RULE[[#This Row],[Reference]]),TEXT(ROW(BUSINES_DQ_RULE[[#This Row],[Reference]]),"00000")&amp;"|--",TEXT(ROW(BUSINES_DQ_RULE[[#This Row],[ID]]),"00000")&amp;"|"&amp;BUSINES_DQ_RULE[[#This Row],[Reference]])</f>
        <v>00010|--</v>
      </c>
      <c r="B10" s="26"/>
      <c r="C10" s="27"/>
      <c r="D10" s="27"/>
      <c r="E10" s="50"/>
      <c r="F10" s="26"/>
      <c r="G10" s="26"/>
      <c r="H10" s="26"/>
    </row>
  </sheetData>
  <sheetProtection sheet="1" sort="0" autoFilter="0"/>
  <dataValidations count="3">
    <dataValidation type="list" errorStyle="information" allowBlank="1" showInputMessage="1" showErrorMessage="1" errorTitle="Entry not allowed" error="Please update LOVs" sqref="F4:F10" xr:uid="{00000000-0002-0000-0E00-000000000000}">
      <formula1>DQDIMENSION</formula1>
    </dataValidation>
    <dataValidation type="list" errorStyle="information" allowBlank="1" showInputMessage="1" showErrorMessage="1" errorTitle="Entry not allowed" sqref="G4:G10" xr:uid="{00000000-0002-0000-0E00-000003000000}">
      <formula1>INDIRECT("DATA_OBJECT[ID]")</formula1>
    </dataValidation>
    <dataValidation type="list" errorStyle="information" allowBlank="1" showInputMessage="1" showErrorMessage="1" errorTitle="Entry not allowed" sqref="H4:H10" xr:uid="{23D1B617-85C1-4986-A6C9-39E23715ED40}">
      <formula1>INDIRECT("DATA_DOMAIN[ID]")</formula1>
    </dataValidation>
  </dataValidations>
  <hyperlinks>
    <hyperlink ref="E6" r:id="rId1" xr:uid="{00000000-0004-0000-0E00-000000000000}"/>
  </hyperlinks>
  <pageMargins left="0.7" right="0.7" top="0.75" bottom="0.75" header="0.3" footer="0.3"/>
  <pageSetup paperSize="9" orientation="portrait" r:id="rId2"/>
  <drawing r:id="rId3"/>
  <tableParts count="1">
    <tablePart r:id="rId4"/>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Feuil16"/>
  <dimension ref="A1:N10"/>
  <sheetViews>
    <sheetView workbookViewId="0">
      <selection activeCell="B5" sqref="B5"/>
    </sheetView>
  </sheetViews>
  <sheetFormatPr baseColWidth="10" defaultColWidth="11.42578125" defaultRowHeight="15"/>
  <cols>
    <col min="1" max="1" width="14.85546875" bestFit="1" customWidth="1"/>
    <col min="2" max="2" width="26" bestFit="1" customWidth="1"/>
    <col min="3" max="3" width="35" customWidth="1"/>
    <col min="4" max="4" width="16" customWidth="1"/>
    <col min="5" max="5" width="18.42578125" customWidth="1"/>
    <col min="6" max="6" width="21.28515625" bestFit="1" customWidth="1"/>
    <col min="7" max="7" width="11.28515625" bestFit="1" customWidth="1"/>
    <col min="8" max="8" width="19.42578125" customWidth="1"/>
    <col min="9" max="9" width="19.85546875" customWidth="1"/>
    <col min="10" max="10" width="20.28515625" customWidth="1"/>
    <col min="11" max="11" width="23.28515625" bestFit="1" customWidth="1"/>
    <col min="12" max="12" width="24" bestFit="1" customWidth="1"/>
    <col min="13" max="13" width="24.5703125" bestFit="1" customWidth="1"/>
    <col min="14" max="14" width="29.5703125" customWidth="1"/>
    <col min="15" max="15" width="24" bestFit="1" customWidth="1"/>
    <col min="16" max="17" width="13.85546875" customWidth="1"/>
    <col min="18" max="18" width="27.7109375" bestFit="1" customWidth="1"/>
    <col min="19" max="19" width="23.5703125" customWidth="1"/>
    <col min="20" max="20" width="24.140625" customWidth="1"/>
    <col min="21" max="21" width="23.28515625" customWidth="1"/>
    <col min="22" max="22" width="14.85546875" customWidth="1"/>
  </cols>
  <sheetData>
    <row r="1" spans="1:14">
      <c r="A1" s="1"/>
      <c r="B1" s="1"/>
      <c r="C1" s="1"/>
      <c r="D1" s="1"/>
      <c r="E1" s="1"/>
      <c r="F1" s="1"/>
      <c r="G1" s="1"/>
      <c r="H1" s="1"/>
      <c r="I1" s="1"/>
      <c r="J1" s="1"/>
      <c r="K1" s="1"/>
      <c r="L1" s="1"/>
      <c r="M1" s="1"/>
      <c r="N1" s="1"/>
    </row>
    <row r="2" spans="1:14">
      <c r="A2" s="1"/>
      <c r="B2" s="1"/>
      <c r="C2" s="1"/>
      <c r="D2" s="1"/>
      <c r="E2" s="1"/>
      <c r="F2" s="1"/>
      <c r="G2" s="1"/>
      <c r="H2" s="1"/>
      <c r="I2" s="1"/>
      <c r="J2" s="1"/>
      <c r="K2" s="1"/>
      <c r="L2" s="1"/>
      <c r="M2" s="1"/>
      <c r="N2" s="1"/>
    </row>
    <row r="3" spans="1:14">
      <c r="A3" s="58" t="s">
        <v>26</v>
      </c>
      <c r="B3" s="56" t="s">
        <v>748</v>
      </c>
      <c r="C3" s="56" t="s">
        <v>3</v>
      </c>
      <c r="D3" s="56" t="s">
        <v>738</v>
      </c>
      <c r="E3" s="56" t="s">
        <v>739</v>
      </c>
      <c r="F3" s="56" t="s">
        <v>756</v>
      </c>
      <c r="G3" s="56" t="s">
        <v>740</v>
      </c>
      <c r="H3" s="56" t="s">
        <v>754</v>
      </c>
      <c r="I3" s="56" t="s">
        <v>741</v>
      </c>
      <c r="J3" s="56" t="s">
        <v>761</v>
      </c>
      <c r="K3" s="56" t="s">
        <v>742</v>
      </c>
      <c r="L3" s="56" t="s">
        <v>743</v>
      </c>
      <c r="M3" s="56" t="s">
        <v>744</v>
      </c>
      <c r="N3" s="56" t="s">
        <v>724</v>
      </c>
    </row>
    <row r="4" spans="1:14" ht="135">
      <c r="A4" s="45" t="str">
        <f>IF(ISBLANK(TECH_DQ_RULE[[#This Row],[Business DQ Rule Reference]]),TEXT(ROW(TECH_DQ_RULE[[#This Row],[Business DQ Rule Reference]]),"00000")&amp;"|--",TECH_DQ_RULE[[#This Row],[Business DQ Rule Reference]]&amp;"-T")</f>
        <v>00004|CA001-T</v>
      </c>
      <c r="B4" s="26" t="s">
        <v>856</v>
      </c>
      <c r="C4" s="27" t="s">
        <v>718</v>
      </c>
      <c r="D4" s="59">
        <v>43203</v>
      </c>
      <c r="E4" s="59">
        <v>2958465</v>
      </c>
      <c r="F4" s="26" t="s">
        <v>757</v>
      </c>
      <c r="G4" s="26" t="s">
        <v>71</v>
      </c>
      <c r="H4" s="26" t="s">
        <v>850</v>
      </c>
      <c r="I4" s="27" t="s">
        <v>745</v>
      </c>
      <c r="J4" s="60" t="s">
        <v>762</v>
      </c>
      <c r="K4" s="26" t="s">
        <v>763</v>
      </c>
      <c r="L4" s="26" t="s">
        <v>746</v>
      </c>
      <c r="M4" s="26" t="s">
        <v>747</v>
      </c>
      <c r="N4" s="26" t="s">
        <v>24</v>
      </c>
    </row>
    <row r="5" spans="1:14">
      <c r="A5" s="45" t="str">
        <f>IF(ISBLANK(TECH_DQ_RULE[[#This Row],[Business DQ Rule Reference]]),TEXT(ROW(TECH_DQ_RULE[[#This Row],[Business DQ Rule Reference]]),"00000")&amp;"|--",TECH_DQ_RULE[[#This Row],[Business DQ Rule Reference]]&amp;"-T")</f>
        <v>00005|--</v>
      </c>
      <c r="B5" s="26"/>
      <c r="C5" s="27"/>
      <c r="D5" s="59"/>
      <c r="E5" s="59"/>
      <c r="F5" s="26"/>
      <c r="G5" s="26"/>
      <c r="H5" s="26"/>
      <c r="I5" s="27"/>
      <c r="J5" s="26"/>
      <c r="K5" s="26"/>
      <c r="L5" s="26"/>
      <c r="M5" s="26"/>
      <c r="N5" s="26"/>
    </row>
    <row r="6" spans="1:14">
      <c r="A6" s="45" t="str">
        <f>IF(ISBLANK(TECH_DQ_RULE[[#This Row],[Business DQ Rule Reference]]),TEXT(ROW(TECH_DQ_RULE[[#This Row],[Business DQ Rule Reference]]),"00000")&amp;"|--",TECH_DQ_RULE[[#This Row],[Business DQ Rule Reference]]&amp;"-T")</f>
        <v>00006|--</v>
      </c>
      <c r="B6" s="26"/>
      <c r="C6" s="27"/>
      <c r="D6" s="59"/>
      <c r="E6" s="59"/>
      <c r="F6" s="26"/>
      <c r="G6" s="26"/>
      <c r="H6" s="26"/>
      <c r="I6" s="27"/>
      <c r="J6" s="26"/>
      <c r="K6" s="26"/>
      <c r="L6" s="26"/>
      <c r="M6" s="26"/>
      <c r="N6" s="26"/>
    </row>
    <row r="7" spans="1:14">
      <c r="A7" s="45" t="str">
        <f>IF(ISBLANK(TECH_DQ_RULE[[#This Row],[Business DQ Rule Reference]]),TEXT(ROW(TECH_DQ_RULE[[#This Row],[Business DQ Rule Reference]]),"00000")&amp;"|--",TECH_DQ_RULE[[#This Row],[Business DQ Rule Reference]]&amp;"-T")</f>
        <v>00007|--</v>
      </c>
      <c r="B7" s="26"/>
      <c r="C7" s="27"/>
      <c r="D7" s="59"/>
      <c r="E7" s="59"/>
      <c r="F7" s="26"/>
      <c r="G7" s="26"/>
      <c r="H7" s="26"/>
      <c r="I7" s="27"/>
      <c r="J7" s="26"/>
      <c r="K7" s="26"/>
      <c r="L7" s="26"/>
      <c r="M7" s="26"/>
      <c r="N7" s="26"/>
    </row>
    <row r="8" spans="1:14">
      <c r="A8" s="45" t="str">
        <f>IF(ISBLANK(TECH_DQ_RULE[[#This Row],[Business DQ Rule Reference]]),TEXT(ROW(TECH_DQ_RULE[[#This Row],[Business DQ Rule Reference]]),"00000")&amp;"|--",TECH_DQ_RULE[[#This Row],[Business DQ Rule Reference]]&amp;"-T")</f>
        <v>00008|--</v>
      </c>
      <c r="B8" s="26"/>
      <c r="C8" s="27"/>
      <c r="D8" s="59"/>
      <c r="E8" s="59"/>
      <c r="F8" s="26"/>
      <c r="G8" s="26"/>
      <c r="H8" s="26"/>
      <c r="I8" s="27"/>
      <c r="J8" s="26"/>
      <c r="K8" s="26"/>
      <c r="L8" s="26"/>
      <c r="M8" s="26"/>
      <c r="N8" s="26"/>
    </row>
    <row r="9" spans="1:14">
      <c r="A9" s="45" t="str">
        <f>IF(ISBLANK(TECH_DQ_RULE[[#This Row],[Business DQ Rule Reference]]),TEXT(ROW(TECH_DQ_RULE[[#This Row],[Business DQ Rule Reference]]),"00000")&amp;"|--",TECH_DQ_RULE[[#This Row],[Business DQ Rule Reference]]&amp;"-T")</f>
        <v>00009|--</v>
      </c>
      <c r="B9" s="26"/>
      <c r="C9" s="27"/>
      <c r="D9" s="59"/>
      <c r="E9" s="59"/>
      <c r="F9" s="26"/>
      <c r="G9" s="26"/>
      <c r="H9" s="26"/>
      <c r="I9" s="27"/>
      <c r="J9" s="26"/>
      <c r="K9" s="26"/>
      <c r="L9" s="26"/>
      <c r="M9" s="26"/>
      <c r="N9" s="26"/>
    </row>
    <row r="10" spans="1:14">
      <c r="A10" s="45" t="str">
        <f>IF(ISBLANK(TECH_DQ_RULE[[#This Row],[Business DQ Rule Reference]]),TEXT(ROW(TECH_DQ_RULE[[#This Row],[Business DQ Rule Reference]]),"00000")&amp;"|--",TECH_DQ_RULE[[#This Row],[Business DQ Rule Reference]]&amp;"-T")</f>
        <v>00010|--</v>
      </c>
      <c r="B10" s="26"/>
      <c r="C10" s="27"/>
      <c r="D10" s="59"/>
      <c r="E10" s="59"/>
      <c r="F10" s="26"/>
      <c r="G10" s="26"/>
      <c r="H10" s="26"/>
      <c r="I10" s="27"/>
      <c r="J10" s="26"/>
      <c r="K10" s="26"/>
      <c r="L10" s="26"/>
      <c r="M10" s="26"/>
      <c r="N10" s="26"/>
    </row>
  </sheetData>
  <sheetProtection sheet="1" sort="0" autoFilter="0"/>
  <dataValidations count="4">
    <dataValidation type="list" errorStyle="information" allowBlank="1" showInputMessage="1" showErrorMessage="1" errorTitle="Entry not allowed" sqref="B4:B10" xr:uid="{00000000-0002-0000-0F00-000000000000}">
      <formula1>INDIRECT("BUSINES_DQ_RULE[ID]")</formula1>
    </dataValidation>
    <dataValidation type="list" allowBlank="1" showInputMessage="1" showErrorMessage="1" sqref="G4:G10" xr:uid="{00000000-0002-0000-0F00-000001000000}">
      <formula1>BOOLEAN</formula1>
    </dataValidation>
    <dataValidation type="list" errorStyle="information" allowBlank="1" showInputMessage="1" showErrorMessage="1" errorTitle="Entry not allowed" error="Please update LOVs" sqref="F4:F10" xr:uid="{00000000-0002-0000-0F00-000002000000}">
      <formula1>ASSPLANNING</formula1>
    </dataValidation>
    <dataValidation type="list" errorStyle="information" allowBlank="1" showInputMessage="1" showErrorMessage="1" errorTitle="Entry not allowed" sqref="H4:H10" xr:uid="{00000000-0002-0000-0F00-000004000000}">
      <formula1>INDIRECT("DATABASE[ID]")</formula1>
    </dataValidation>
  </dataValidations>
  <pageMargins left="0.7" right="0.7" top="0.75" bottom="0.75" header="0.3" footer="0.3"/>
  <pageSetup paperSize="9" orientation="portrait" r:id="rId1"/>
  <drawing r:id="rId2"/>
  <tableParts count="1">
    <tablePart r:id="rId3"/>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Feuil17"/>
  <dimension ref="A1:H10"/>
  <sheetViews>
    <sheetView workbookViewId="0"/>
  </sheetViews>
  <sheetFormatPr baseColWidth="10" defaultColWidth="11.42578125" defaultRowHeight="15"/>
  <cols>
    <col min="1" max="1" width="18.7109375" customWidth="1"/>
    <col min="2" max="2" width="15.28515625" customWidth="1"/>
    <col min="3" max="3" width="30.5703125" customWidth="1"/>
    <col min="4" max="4" width="42.28515625" customWidth="1"/>
    <col min="5" max="8" width="34.28515625" customWidth="1"/>
  </cols>
  <sheetData>
    <row r="1" spans="1:8">
      <c r="A1" s="1"/>
      <c r="B1" s="1"/>
      <c r="C1" s="1"/>
      <c r="D1" s="1"/>
      <c r="E1" s="1"/>
      <c r="F1" s="1"/>
      <c r="G1" s="1"/>
      <c r="H1" s="1"/>
    </row>
    <row r="2" spans="1:8">
      <c r="A2" s="1"/>
      <c r="B2" s="1"/>
      <c r="C2" s="1"/>
      <c r="D2" s="1"/>
      <c r="E2" s="1"/>
      <c r="F2" s="1"/>
      <c r="G2" s="1"/>
      <c r="H2" s="1"/>
    </row>
    <row r="3" spans="1:8">
      <c r="A3" s="19" t="s">
        <v>26</v>
      </c>
      <c r="B3" s="25" t="s">
        <v>22</v>
      </c>
      <c r="C3" s="25" t="s">
        <v>23</v>
      </c>
      <c r="D3" s="25" t="s">
        <v>3</v>
      </c>
      <c r="E3" s="25" t="s">
        <v>768</v>
      </c>
      <c r="F3" s="25" t="s">
        <v>769</v>
      </c>
      <c r="G3" s="25" t="s">
        <v>770</v>
      </c>
      <c r="H3" s="25" t="s">
        <v>767</v>
      </c>
    </row>
    <row r="4" spans="1:8" ht="22.5">
      <c r="A4" s="45" t="str">
        <f>IF(ISBLANK(BUSINESS_DATA_ISSUE[[#This Row],[Reference]]),TEXT(ROW(BUSINESS_DATA_ISSUE[[#This Row],[Reference]]),"00000")&amp;"|--",TEXT(ROW(BUSINESS_DATA_ISSUE[[#This Row],[ID]]),"00000")&amp;"|"&amp;BUSINESS_DATA_ISSUE[[#This Row],[Reference]])</f>
        <v>00004|BP001</v>
      </c>
      <c r="B4" s="62" t="s">
        <v>766</v>
      </c>
      <c r="C4" s="62" t="s">
        <v>8776</v>
      </c>
      <c r="D4" s="63" t="s">
        <v>8773</v>
      </c>
      <c r="E4" s="27" t="s">
        <v>858</v>
      </c>
      <c r="F4" s="27" t="s">
        <v>778</v>
      </c>
      <c r="G4" s="27" t="s">
        <v>773</v>
      </c>
      <c r="H4" s="27"/>
    </row>
    <row r="5" spans="1:8" ht="22.5">
      <c r="A5" s="45" t="str">
        <f>IF(ISBLANK(BUSINESS_DATA_ISSUE[[#This Row],[Reference]]),TEXT(ROW(BUSINESS_DATA_ISSUE[[#This Row],[Reference]]),"00000")&amp;"|--",TEXT(ROW(BUSINESS_DATA_ISSUE[[#This Row],[ID]]),"00000")&amp;"|"&amp;BUSINESS_DATA_ISSUE[[#This Row],[Reference]])</f>
        <v>00005|BP002</v>
      </c>
      <c r="B5" s="26" t="s">
        <v>8771</v>
      </c>
      <c r="C5" s="26" t="s">
        <v>8776</v>
      </c>
      <c r="D5" s="27" t="s">
        <v>8773</v>
      </c>
      <c r="E5" s="27" t="s">
        <v>828</v>
      </c>
      <c r="F5" s="27" t="s">
        <v>782</v>
      </c>
      <c r="G5" s="27" t="s">
        <v>774</v>
      </c>
      <c r="H5" s="27"/>
    </row>
    <row r="6" spans="1:8">
      <c r="A6" s="45" t="str">
        <f>IF(ISBLANK(BUSINESS_DATA_ISSUE[[#This Row],[Reference]]),TEXT(ROW(BUSINESS_DATA_ISSUE[[#This Row],[Reference]]),"00000")&amp;"|--",TEXT(ROW(BUSINESS_DATA_ISSUE[[#This Row],[ID]]),"00000")&amp;"|"&amp;BUSINESS_DATA_ISSUE[[#This Row],[Reference]])</f>
        <v>00006|--</v>
      </c>
      <c r="B6" s="26"/>
      <c r="C6" s="26"/>
      <c r="D6" s="27"/>
      <c r="E6" s="27"/>
      <c r="F6" s="27"/>
      <c r="G6" s="27"/>
      <c r="H6" s="27"/>
    </row>
    <row r="7" spans="1:8">
      <c r="A7" s="45" t="str">
        <f>IF(ISBLANK(BUSINESS_DATA_ISSUE[[#This Row],[Reference]]),TEXT(ROW(BUSINESS_DATA_ISSUE[[#This Row],[Reference]]),"00000")&amp;"|--",TEXT(ROW(BUSINESS_DATA_ISSUE[[#This Row],[ID]]),"00000")&amp;"|"&amp;BUSINESS_DATA_ISSUE[[#This Row],[Reference]])</f>
        <v>00007|--</v>
      </c>
      <c r="B7" s="26"/>
      <c r="C7" s="26"/>
      <c r="D7" s="27"/>
      <c r="E7" s="27"/>
      <c r="F7" s="27"/>
      <c r="G7" s="27"/>
      <c r="H7" s="27"/>
    </row>
    <row r="8" spans="1:8">
      <c r="A8" s="45" t="str">
        <f>IF(ISBLANK(BUSINESS_DATA_ISSUE[[#This Row],[Reference]]),TEXT(ROW(BUSINESS_DATA_ISSUE[[#This Row],[Reference]]),"00000")&amp;"|--",TEXT(ROW(BUSINESS_DATA_ISSUE[[#This Row],[ID]]),"00000")&amp;"|"&amp;BUSINESS_DATA_ISSUE[[#This Row],[Reference]])</f>
        <v>00008|--</v>
      </c>
      <c r="B8" s="26"/>
      <c r="C8" s="26"/>
      <c r="D8" s="27"/>
      <c r="E8" s="27"/>
      <c r="F8" s="27"/>
      <c r="G8" s="27"/>
      <c r="H8" s="27"/>
    </row>
    <row r="9" spans="1:8">
      <c r="A9" s="45" t="str">
        <f>IF(ISBLANK(BUSINESS_DATA_ISSUE[[#This Row],[Reference]]),TEXT(ROW(BUSINESS_DATA_ISSUE[[#This Row],[Reference]]),"00000")&amp;"|--",TEXT(ROW(BUSINESS_DATA_ISSUE[[#This Row],[ID]]),"00000")&amp;"|"&amp;BUSINESS_DATA_ISSUE[[#This Row],[Reference]])</f>
        <v>00009|--</v>
      </c>
      <c r="B9" s="26"/>
      <c r="C9" s="26"/>
      <c r="D9" s="27"/>
      <c r="E9" s="27"/>
      <c r="F9" s="27"/>
      <c r="G9" s="27"/>
      <c r="H9" s="27"/>
    </row>
    <row r="10" spans="1:8">
      <c r="A10" s="45" t="str">
        <f>IF(ISBLANK(BUSINESS_DATA_ISSUE[[#This Row],[Reference]]),TEXT(ROW(BUSINESS_DATA_ISSUE[[#This Row],[Reference]]),"00000")&amp;"|--",TEXT(ROW(BUSINESS_DATA_ISSUE[[#This Row],[ID]]),"00000")&amp;"|"&amp;BUSINESS_DATA_ISSUE[[#This Row],[Reference]])</f>
        <v>00010|--</v>
      </c>
      <c r="B10" s="26"/>
      <c r="C10" s="26"/>
      <c r="D10" s="27"/>
      <c r="E10" s="27"/>
      <c r="F10" s="27"/>
      <c r="G10" s="27"/>
      <c r="H10" s="27"/>
    </row>
  </sheetData>
  <sheetProtection sheet="1" sort="0" autoFilter="0"/>
  <dataValidations count="3">
    <dataValidation type="list" allowBlank="1" showInputMessage="1" showErrorMessage="1" sqref="E4:E10" xr:uid="{9C4FF63B-59CD-4DE6-88D6-678D91917789}">
      <formula1>INDIRECT("DATA_PROCESSING_ACTIVITY[ID]")</formula1>
    </dataValidation>
    <dataValidation type="list" allowBlank="1" showInputMessage="1" showErrorMessage="1" sqref="F4:F10" xr:uid="{7FD17A6F-61FD-4FB2-AE51-2BE23BA66932}">
      <formula1>IMPACTCATEGORY</formula1>
    </dataValidation>
    <dataValidation type="list" allowBlank="1" showInputMessage="1" showErrorMessage="1" sqref="G4:G10" xr:uid="{00095390-0766-4640-A134-9D98BA9FF3BA}">
      <formula1>CRITILEVEL</formula1>
    </dataValidation>
  </dataValidations>
  <pageMargins left="0.7" right="0.7" top="0.75" bottom="0.75" header="0.3" footer="0.3"/>
  <pageSetup paperSize="9" orientation="portrait" r:id="rId1"/>
  <drawing r:id="rId2"/>
  <tableParts count="1">
    <tablePart r:id="rId3"/>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505534-AA1D-456B-BB44-ABE3BB96C1AC}">
  <sheetPr codeName="Feuil39"/>
  <dimension ref="A1:H10"/>
  <sheetViews>
    <sheetView workbookViewId="0">
      <selection activeCell="F7" sqref="F7"/>
    </sheetView>
  </sheetViews>
  <sheetFormatPr baseColWidth="10" defaultColWidth="11.42578125" defaultRowHeight="15"/>
  <cols>
    <col min="1" max="1" width="26.85546875" customWidth="1"/>
    <col min="2" max="2" width="27.42578125" customWidth="1"/>
    <col min="3" max="3" width="32.42578125" customWidth="1"/>
    <col min="4" max="4" width="15" customWidth="1"/>
    <col min="5" max="5" width="23.28515625" customWidth="1"/>
    <col min="6" max="6" width="22.85546875" customWidth="1"/>
    <col min="7" max="7" width="36" customWidth="1"/>
    <col min="8" max="8" width="34" customWidth="1"/>
    <col min="9" max="10" width="11.5703125" customWidth="1"/>
    <col min="11" max="14" width="11.42578125" customWidth="1"/>
  </cols>
  <sheetData>
    <row r="1" spans="1:8">
      <c r="A1" s="1"/>
      <c r="B1" s="1"/>
      <c r="C1" s="1"/>
      <c r="D1" s="1"/>
      <c r="E1" s="1"/>
      <c r="F1" s="1"/>
      <c r="G1" s="1"/>
      <c r="H1" s="1"/>
    </row>
    <row r="2" spans="1:8">
      <c r="A2" s="1"/>
      <c r="B2" s="1"/>
      <c r="C2" s="1"/>
      <c r="D2" s="1"/>
      <c r="E2" s="1"/>
      <c r="F2" s="1"/>
      <c r="G2" s="1"/>
      <c r="H2" s="1"/>
    </row>
    <row r="3" spans="1:8">
      <c r="A3" s="52" t="s">
        <v>754</v>
      </c>
      <c r="B3" s="52" t="s">
        <v>8789</v>
      </c>
      <c r="C3" s="52" t="s">
        <v>8791</v>
      </c>
      <c r="D3" s="52" t="s">
        <v>8792</v>
      </c>
      <c r="E3" s="52" t="s">
        <v>8793</v>
      </c>
      <c r="F3" s="52" t="s">
        <v>8794</v>
      </c>
      <c r="G3" s="52" t="s">
        <v>8724</v>
      </c>
      <c r="H3" s="52" t="s">
        <v>8795</v>
      </c>
    </row>
    <row r="4" spans="1:8">
      <c r="A4" s="52" t="s">
        <v>839</v>
      </c>
      <c r="B4" s="52" t="s">
        <v>8725</v>
      </c>
      <c r="C4" s="108">
        <v>500</v>
      </c>
      <c r="D4" s="108">
        <v>120</v>
      </c>
      <c r="E4" s="107">
        <v>0.5</v>
      </c>
      <c r="F4" s="107">
        <f>DQ_ISSUE[[#This Row],[Nb Defects]]/DQ_ISSUE[[#This Row],[Nb Data Object Members Evaluated]]</f>
        <v>0.24</v>
      </c>
      <c r="G4" s="52"/>
      <c r="H4" s="109" t="s">
        <v>8796</v>
      </c>
    </row>
    <row r="5" spans="1:8">
      <c r="A5" s="52" t="s">
        <v>839</v>
      </c>
      <c r="B5" s="52" t="s">
        <v>8790</v>
      </c>
      <c r="C5" s="108">
        <v>850</v>
      </c>
      <c r="D5" s="108">
        <v>90</v>
      </c>
      <c r="E5" s="107">
        <v>0.1</v>
      </c>
      <c r="F5" s="107">
        <f>DQ_ISSUE[[#This Row],[Nb Defects]]/DQ_ISSUE[[#This Row],[Nb Data Object Members Evaluated]]</f>
        <v>0.10588235294117647</v>
      </c>
      <c r="G5" s="52"/>
      <c r="H5" s="109" t="s">
        <v>8796</v>
      </c>
    </row>
    <row r="6" spans="1:8">
      <c r="A6" s="52" t="s">
        <v>839</v>
      </c>
      <c r="B6" s="52" t="s">
        <v>8790</v>
      </c>
      <c r="C6" s="108">
        <v>860</v>
      </c>
      <c r="D6" s="108">
        <v>80</v>
      </c>
      <c r="E6" s="107">
        <v>0.1</v>
      </c>
      <c r="F6" s="107">
        <f>DQ_ISSUE[[#This Row],[Nb Defects]]/DQ_ISSUE[[#This Row],[Nb Data Object Members Evaluated]]</f>
        <v>9.3023255813953487E-2</v>
      </c>
      <c r="G6" s="52"/>
      <c r="H6" s="109" t="s">
        <v>8797</v>
      </c>
    </row>
    <row r="7" spans="1:8">
      <c r="A7" s="52" t="s">
        <v>839</v>
      </c>
      <c r="B7" s="52" t="s">
        <v>8790</v>
      </c>
      <c r="C7" s="108">
        <v>920</v>
      </c>
      <c r="D7" s="108">
        <v>65</v>
      </c>
      <c r="E7" s="107">
        <v>0.1</v>
      </c>
      <c r="F7" s="107">
        <f>DQ_ISSUE[[#This Row],[Nb Defects]]/DQ_ISSUE[[#This Row],[Nb Data Object Members Evaluated]]</f>
        <v>7.0652173913043473E-2</v>
      </c>
      <c r="G7" s="52"/>
      <c r="H7" s="109" t="s">
        <v>8798</v>
      </c>
    </row>
    <row r="8" spans="1:8">
      <c r="A8" s="52"/>
      <c r="B8" s="52"/>
      <c r="C8" s="108"/>
      <c r="D8" s="108"/>
      <c r="E8" s="107"/>
      <c r="F8" s="107"/>
      <c r="G8" s="52"/>
      <c r="H8" s="109"/>
    </row>
    <row r="9" spans="1:8">
      <c r="A9" s="52"/>
      <c r="B9" s="52"/>
      <c r="C9" s="108"/>
      <c r="D9" s="108"/>
      <c r="E9" s="107"/>
      <c r="F9" s="107"/>
      <c r="G9" s="52"/>
      <c r="H9" s="109"/>
    </row>
    <row r="10" spans="1:8">
      <c r="A10" s="52"/>
      <c r="B10" s="52"/>
      <c r="C10" s="108"/>
      <c r="D10" s="108"/>
      <c r="E10" s="107"/>
      <c r="F10" s="107"/>
      <c r="G10" s="52"/>
      <c r="H10" s="109"/>
    </row>
  </sheetData>
  <sheetProtection sheet="1" sort="0" autoFilter="0"/>
  <dataValidations count="2">
    <dataValidation type="list" allowBlank="1" showInputMessage="1" showErrorMessage="1" sqref="A4:A10" xr:uid="{DE7AE220-B858-4891-A53F-3ED458D5B7D3}">
      <formula1>INDIRECT("DATABASE[ID]")</formula1>
    </dataValidation>
    <dataValidation type="list" allowBlank="1" showInputMessage="1" showErrorMessage="1" sqref="B4:B10" xr:uid="{A7462022-C1C2-4196-96A8-E2A805BE19CA}">
      <formula1>INDIRECT("TECH_DQ_RULE[ID]")</formula1>
    </dataValidation>
  </dataValidations>
  <pageMargins left="0.7" right="0.7" top="0.75" bottom="0.75" header="0.3" footer="0.3"/>
  <pageSetup paperSize="9" orientation="portrait" r:id="rId1"/>
  <ignoredErrors>
    <ignoredError sqref="E4:E7" calculatedColumn="1"/>
    <ignoredError sqref="F4:F7" unlockedFormula="1" calculatedColumn="1"/>
  </ignoredErrors>
  <drawing r:id="rId2"/>
  <tableParts count="1">
    <tablePart r:id="rId3"/>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Feuil24"/>
  <dimension ref="A1:F10"/>
  <sheetViews>
    <sheetView workbookViewId="0">
      <selection activeCell="A3" sqref="A3"/>
    </sheetView>
  </sheetViews>
  <sheetFormatPr baseColWidth="10" defaultColWidth="11.42578125" defaultRowHeight="15"/>
  <cols>
    <col min="1" max="1" width="24.7109375" customWidth="1"/>
    <col min="2" max="2" width="28.7109375" customWidth="1"/>
    <col min="3" max="3" width="29.5703125" customWidth="1"/>
    <col min="4" max="4" width="23.7109375" customWidth="1"/>
    <col min="5" max="6" width="27.85546875" customWidth="1"/>
    <col min="7" max="8" width="11.140625" customWidth="1"/>
  </cols>
  <sheetData>
    <row r="1" spans="1:6">
      <c r="A1" s="1"/>
      <c r="B1" s="43" t="s">
        <v>820</v>
      </c>
      <c r="C1" s="43" t="s">
        <v>820</v>
      </c>
      <c r="D1" s="1"/>
      <c r="E1" s="43" t="s">
        <v>820</v>
      </c>
      <c r="F1" s="43" t="s">
        <v>820</v>
      </c>
    </row>
    <row r="2" spans="1:6">
      <c r="A2" s="1"/>
      <c r="B2" s="1"/>
      <c r="C2" s="1"/>
      <c r="D2" s="1"/>
      <c r="E2" s="1"/>
      <c r="F2" s="1"/>
    </row>
    <row r="3" spans="1:6">
      <c r="A3" s="24" t="s">
        <v>754</v>
      </c>
      <c r="B3" s="24" t="s">
        <v>8734</v>
      </c>
      <c r="C3" s="24" t="s">
        <v>8735</v>
      </c>
      <c r="D3" s="24" t="s">
        <v>755</v>
      </c>
      <c r="E3" s="24" t="s">
        <v>8731</v>
      </c>
      <c r="F3" s="24" t="s">
        <v>8732</v>
      </c>
    </row>
    <row r="4" spans="1:6">
      <c r="A4" s="39" t="s">
        <v>839</v>
      </c>
      <c r="B4" s="46" t="str">
        <f>IF(ISBLANK(DB_DATASET[[#This Row],[Database ID]]),"-",IF(ISERROR(VLOOKUP(DB_DATASET[[#This Row],[Database ID]],DATABASE[],2,FALSE)),"Not found",VLOOKUP(DB_DATASET[[#This Row],[Database ID]],DATABASE[],2,FALSE)))</f>
        <v>POLICY_ORAPRD</v>
      </c>
      <c r="C4" s="46" t="str">
        <f>IF(ISBLANK(DB_DATASET[[#This Row],[Database ID]]),"-",IF(ISERROR(VLOOKUP(DB_DATASET[[#This Row],[Database ID]],DATABASE[],4,FALSE)),"Not found",VLOOKUP(DB_DATASET[[#This Row],[Database ID]],DATABASE[],4,FALSE)))</f>
        <v>Guidewire policy center prod oracle database</v>
      </c>
      <c r="D4" s="39" t="s">
        <v>841</v>
      </c>
      <c r="E4" s="46" t="str">
        <f>IF(ISBLANK(DB_DATASET[[#This Row],[Dataset ID]]),"-",IF(ISERROR(VLOOKUP(DB_DATASET[[#This Row],[Dataset ID]],DATASET[],2,FALSE)),"Not found",VLOOKUP(DB_DATASET[[#This Row],[Dataset ID]],DATASET[],2,FALSE)))</f>
        <v>PolicyFT</v>
      </c>
      <c r="F4" s="46" t="str">
        <f>IF(ISBLANK(DB_DATASET[[#This Row],[Dataset ID]]),"-",IF(ISERROR(VLOOKUP(DB_DATASET[[#This Row],[Dataset ID]],DATASET[],3,FALSE)),"Not found",VLOOKUP(DB_DATASET[[#This Row],[Dataset ID]],DATASET[],3,FALSE)))</f>
        <v>Policy_FT</v>
      </c>
    </row>
    <row r="5" spans="1:6">
      <c r="A5" s="39" t="s">
        <v>839</v>
      </c>
      <c r="B5" s="46" t="str">
        <f>IF(ISBLANK(DB_DATASET[[#This Row],[Database ID]]),"-",IF(ISERROR(VLOOKUP(DB_DATASET[[#This Row],[Database ID]],DATABASE[],2,FALSE)),"Not found",VLOOKUP(DB_DATASET[[#This Row],[Database ID]],DATABASE[],2,FALSE)))</f>
        <v>POLICY_ORAPRD</v>
      </c>
      <c r="C5" s="46" t="str">
        <f>IF(ISBLANK(DB_DATASET[[#This Row],[Database ID]]),"-",IF(ISERROR(VLOOKUP(DB_DATASET[[#This Row],[Database ID]],DATABASE[],4,FALSE)),"Not found",VLOOKUP(DB_DATASET[[#This Row],[Database ID]],DATABASE[],4,FALSE)))</f>
        <v>Guidewire policy center prod oracle database</v>
      </c>
      <c r="D5" s="39" t="s">
        <v>851</v>
      </c>
      <c r="E5" s="46" t="str">
        <f>IF(ISBLANK(DB_DATASET[[#This Row],[Dataset ID]]),"-",IF(ISERROR(VLOOKUP(DB_DATASET[[#This Row],[Dataset ID]],DATASET[],2,FALSE)),"Not found",VLOOKUP(DB_DATASET[[#This Row],[Dataset ID]],DATASET[],2,FALSE)))</f>
        <v>PartyDM</v>
      </c>
      <c r="F5" s="46" t="str">
        <f>IF(ISBLANK(DB_DATASET[[#This Row],[Dataset ID]]),"-",IF(ISERROR(VLOOKUP(DB_DATASET[[#This Row],[Dataset ID]],DATASET[],3,FALSE)),"Not found",VLOOKUP(DB_DATASET[[#This Row],[Dataset ID]],DATASET[],3,FALSE)))</f>
        <v>Party_DM</v>
      </c>
    </row>
    <row r="6" spans="1:6">
      <c r="A6" s="39" t="s">
        <v>839</v>
      </c>
      <c r="B6" s="46" t="str">
        <f>IF(ISBLANK(DB_DATASET[[#This Row],[Database ID]]),"-",IF(ISERROR(VLOOKUP(DB_DATASET[[#This Row],[Database ID]],DATABASE[],2,FALSE)),"Not found",VLOOKUP(DB_DATASET[[#This Row],[Database ID]],DATABASE[],2,FALSE)))</f>
        <v>POLICY_ORAPRD</v>
      </c>
      <c r="C6" s="46" t="str">
        <f>IF(ISBLANK(DB_DATASET[[#This Row],[Database ID]]),"-",IF(ISERROR(VLOOKUP(DB_DATASET[[#This Row],[Database ID]],DATABASE[],4,FALSE)),"Not found",VLOOKUP(DB_DATASET[[#This Row],[Database ID]],DATABASE[],4,FALSE)))</f>
        <v>Guidewire policy center prod oracle database</v>
      </c>
      <c r="D6" s="39" t="s">
        <v>852</v>
      </c>
      <c r="E6" s="46" t="str">
        <f>IF(ISBLANK(DB_DATASET[[#This Row],[Dataset ID]]),"-",IF(ISERROR(VLOOKUP(DB_DATASET[[#This Row],[Dataset ID]],DATASET[],2,FALSE)),"Not found",VLOOKUP(DB_DATASET[[#This Row],[Dataset ID]],DATASET[],2,FALSE)))</f>
        <v>ClientDM</v>
      </c>
      <c r="F6" s="46" t="str">
        <f>IF(ISBLANK(DB_DATASET[[#This Row],[Dataset ID]]),"-",IF(ISERROR(VLOOKUP(DB_DATASET[[#This Row],[Dataset ID]],DATASET[],3,FALSE)),"Not found",VLOOKUP(DB_DATASET[[#This Row],[Dataset ID]],DATASET[],3,FALSE)))</f>
        <v>Client_DM</v>
      </c>
    </row>
    <row r="7" spans="1:6">
      <c r="A7" s="39" t="s">
        <v>839</v>
      </c>
      <c r="B7" s="46" t="str">
        <f>IF(ISBLANK(DB_DATASET[[#This Row],[Database ID]]),"-",IF(ISERROR(VLOOKUP(DB_DATASET[[#This Row],[Database ID]],DATABASE[],2,FALSE)),"Not found",VLOOKUP(DB_DATASET[[#This Row],[Database ID]],DATABASE[],2,FALSE)))</f>
        <v>POLICY_ORAPRD</v>
      </c>
      <c r="C7" s="46" t="str">
        <f>IF(ISBLANK(DB_DATASET[[#This Row],[Database ID]]),"-",IF(ISERROR(VLOOKUP(DB_DATASET[[#This Row],[Database ID]],DATABASE[],4,FALSE)),"Not found",VLOOKUP(DB_DATASET[[#This Row],[Database ID]],DATABASE[],4,FALSE)))</f>
        <v>Guidewire policy center prod oracle database</v>
      </c>
      <c r="D7" s="39" t="s">
        <v>853</v>
      </c>
      <c r="E7" s="46" t="str">
        <f>IF(ISBLANK(DB_DATASET[[#This Row],[Dataset ID]]),"-",IF(ISERROR(VLOOKUP(DB_DATASET[[#This Row],[Dataset ID]],DATASET[],2,FALSE)),"Not found",VLOOKUP(DB_DATASET[[#This Row],[Dataset ID]],DATASET[],2,FALSE)))</f>
        <v>Not found</v>
      </c>
      <c r="F7" s="46" t="str">
        <f>IF(ISBLANK(DB_DATASET[[#This Row],[Dataset ID]]),"-",IF(ISERROR(VLOOKUP(DB_DATASET[[#This Row],[Dataset ID]],DATASET[],3,FALSE)),"Not found",VLOOKUP(DB_DATASET[[#This Row],[Dataset ID]],DATASET[],3,FALSE)))</f>
        <v>Not found</v>
      </c>
    </row>
    <row r="8" spans="1:6">
      <c r="A8" s="39" t="s">
        <v>839</v>
      </c>
      <c r="B8" s="46" t="str">
        <f>IF(ISBLANK(DB_DATASET[[#This Row],[Database ID]]),"-",IF(ISERROR(VLOOKUP(DB_DATASET[[#This Row],[Database ID]],DATABASE[],2,FALSE)),"Not found",VLOOKUP(DB_DATASET[[#This Row],[Database ID]],DATABASE[],2,FALSE)))</f>
        <v>POLICY_ORAPRD</v>
      </c>
      <c r="C8" s="46" t="str">
        <f>IF(ISBLANK(DB_DATASET[[#This Row],[Database ID]]),"-",IF(ISERROR(VLOOKUP(DB_DATASET[[#This Row],[Database ID]],DATABASE[],4,FALSE)),"Not found",VLOOKUP(DB_DATASET[[#This Row],[Database ID]],DATABASE[],4,FALSE)))</f>
        <v>Guidewire policy center prod oracle database</v>
      </c>
      <c r="D8" s="39" t="s">
        <v>842</v>
      </c>
      <c r="E8" s="46" t="str">
        <f>IF(ISBLANK(DB_DATASET[[#This Row],[Dataset ID]]),"-",IF(ISERROR(VLOOKUP(DB_DATASET[[#This Row],[Dataset ID]],DATASET[],2,FALSE)),"Not found",VLOOKUP(DB_DATASET[[#This Row],[Dataset ID]],DATASET[],2,FALSE)))</f>
        <v>Not found</v>
      </c>
      <c r="F8" s="46" t="str">
        <f>IF(ISBLANK(DB_DATASET[[#This Row],[Dataset ID]]),"-",IF(ISERROR(VLOOKUP(DB_DATASET[[#This Row],[Dataset ID]],DATASET[],3,FALSE)),"Not found",VLOOKUP(DB_DATASET[[#This Row],[Dataset ID]],DATASET[],3,FALSE)))</f>
        <v>Not found</v>
      </c>
    </row>
    <row r="9" spans="1:6">
      <c r="A9" s="39" t="s">
        <v>850</v>
      </c>
      <c r="B9" s="46" t="str">
        <f>IF(ISBLANK(DB_DATASET[[#This Row],[Database ID]]),"-",IF(ISERROR(VLOOKUP(DB_DATASET[[#This Row],[Database ID]],DATABASE[],2,FALSE)),"Not found",VLOOKUP(DB_DATASET[[#This Row],[Database ID]],DATABASE[],2,FALSE)))</f>
        <v>CLAIM_ORAPRD</v>
      </c>
      <c r="C9" s="46" t="str">
        <f>IF(ISBLANK(DB_DATASET[[#This Row],[Database ID]]),"-",IF(ISERROR(VLOOKUP(DB_DATASET[[#This Row],[Database ID]],DATABASE[],4,FALSE)),"Not found",VLOOKUP(DB_DATASET[[#This Row],[Database ID]],DATABASE[],4,FALSE)))</f>
        <v>Guidewire claim center prod oracle database</v>
      </c>
      <c r="D9" s="39" t="s">
        <v>854</v>
      </c>
      <c r="E9" s="46" t="str">
        <f>IF(ISBLANK(DB_DATASET[[#This Row],[Dataset ID]]),"-",IF(ISERROR(VLOOKUP(DB_DATASET[[#This Row],[Dataset ID]],DATASET[],2,FALSE)),"Not found",VLOOKUP(DB_DATASET[[#This Row],[Dataset ID]],DATASET[],2,FALSE)))</f>
        <v>Not found</v>
      </c>
      <c r="F9" s="46" t="str">
        <f>IF(ISBLANK(DB_DATASET[[#This Row],[Dataset ID]]),"-",IF(ISERROR(VLOOKUP(DB_DATASET[[#This Row],[Dataset ID]],DATASET[],3,FALSE)),"Not found",VLOOKUP(DB_DATASET[[#This Row],[Dataset ID]],DATASET[],3,FALSE)))</f>
        <v>Not found</v>
      </c>
    </row>
    <row r="10" spans="1:6">
      <c r="A10" s="39"/>
      <c r="B10" s="46" t="str">
        <f>IF(ISBLANK(DB_DATASET[[#This Row],[Database ID]]),"-",IF(ISERROR(VLOOKUP(DB_DATASET[[#This Row],[Database ID]],DATABASE[],2,FALSE)),"Not found",VLOOKUP(DB_DATASET[[#This Row],[Database ID]],DATABASE[],2,FALSE)))</f>
        <v>-</v>
      </c>
      <c r="C10" s="46" t="str">
        <f>IF(ISBLANK(DB_DATASET[[#This Row],[Database ID]]),"-",IF(ISERROR(VLOOKUP(DB_DATASET[[#This Row],[Database ID]],DATABASE[],4,FALSE)),"Not found",VLOOKUP(DB_DATASET[[#This Row],[Database ID]],DATABASE[],4,FALSE)))</f>
        <v>-</v>
      </c>
      <c r="D10" s="39"/>
      <c r="E10" s="46" t="str">
        <f>IF(ISBLANK(DB_DATASET[[#This Row],[Dataset ID]]),"-",IF(ISERROR(VLOOKUP(DB_DATASET[[#This Row],[Dataset ID]],DATASET[],2,FALSE)),"Not found",VLOOKUP(DB_DATASET[[#This Row],[Dataset ID]],DATASET[],2,FALSE)))</f>
        <v>-</v>
      </c>
      <c r="F10" s="46" t="str">
        <f>IF(ISBLANK(DB_DATASET[[#This Row],[Dataset ID]]),"-",IF(ISERROR(VLOOKUP(DB_DATASET[[#This Row],[Dataset ID]],DATASET[],3,FALSE)),"Not found",VLOOKUP(DB_DATASET[[#This Row],[Dataset ID]],DATASET[],3,FALSE)))</f>
        <v>-</v>
      </c>
    </row>
  </sheetData>
  <sheetProtection sheet="1" objects="1" scenarios="1" sort="0" autoFilter="0"/>
  <dataValidations count="4">
    <dataValidation type="list" allowBlank="1" showInputMessage="1" showErrorMessage="1" errorTitle="Entry not allowed" sqref="D4:D10" xr:uid="{00000000-0002-0000-1700-000001000000}">
      <formula1>INDIRECT("DATASET[ID]")</formula1>
    </dataValidation>
    <dataValidation type="list" errorStyle="information" allowBlank="1" showInputMessage="1" showErrorMessage="1" errorTitle="Entry not allowed" sqref="A4:A10" xr:uid="{00000000-0002-0000-1700-000000000000}">
      <formula1>INDIRECT("DATABASE[ID]")</formula1>
    </dataValidation>
    <dataValidation errorStyle="information" allowBlank="1" showInputMessage="1" showErrorMessage="1" errorTitle="Entry not allowed" sqref="B4:C10" xr:uid="{2D063C04-95AD-4A4D-8512-71D2683D2BC2}"/>
    <dataValidation allowBlank="1" showInputMessage="1" showErrorMessage="1" errorTitle="Entry not allowed" sqref="E4:F10" xr:uid="{80E81492-8162-4FF1-878E-AEFB4F47BB71}"/>
  </dataValidations>
  <pageMargins left="0.7" right="0.7" top="0.75" bottom="0.75" header="0.3" footer="0.3"/>
  <pageSetup paperSize="9" orientation="portrait" r:id="rId1"/>
  <drawing r:id="rId2"/>
  <tableParts count="1">
    <tablePart r:id="rId3"/>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Feuil26"/>
  <dimension ref="A1:G19"/>
  <sheetViews>
    <sheetView workbookViewId="0">
      <selection activeCell="D14" sqref="D14"/>
    </sheetView>
  </sheetViews>
  <sheetFormatPr baseColWidth="10" defaultColWidth="11.42578125" defaultRowHeight="15"/>
  <cols>
    <col min="1" max="1" width="29.85546875" customWidth="1"/>
    <col min="2" max="2" width="31.140625" bestFit="1" customWidth="1"/>
    <col min="3" max="3" width="28.85546875" customWidth="1"/>
    <col min="4" max="6" width="26.140625" customWidth="1"/>
    <col min="7" max="7" width="26.28515625" customWidth="1"/>
    <col min="8" max="9" width="11.140625" customWidth="1"/>
  </cols>
  <sheetData>
    <row r="1" spans="1:7">
      <c r="A1" s="1"/>
      <c r="B1" s="43" t="s">
        <v>820</v>
      </c>
      <c r="C1" s="43" t="s">
        <v>820</v>
      </c>
      <c r="D1" s="1"/>
      <c r="E1" s="43" t="s">
        <v>820</v>
      </c>
      <c r="F1" s="43" t="s">
        <v>820</v>
      </c>
      <c r="G1" s="1"/>
    </row>
    <row r="2" spans="1:7">
      <c r="A2" s="1"/>
      <c r="B2" s="1"/>
      <c r="C2" s="1"/>
      <c r="D2" s="1"/>
      <c r="E2" s="1"/>
      <c r="F2" s="1"/>
      <c r="G2" s="1"/>
    </row>
    <row r="3" spans="1:7">
      <c r="A3" s="39" t="s">
        <v>768</v>
      </c>
      <c r="B3" s="22" t="s">
        <v>8736</v>
      </c>
      <c r="C3" s="22" t="s">
        <v>8737</v>
      </c>
      <c r="D3" s="39" t="s">
        <v>790</v>
      </c>
      <c r="E3" s="22" t="s">
        <v>8729</v>
      </c>
      <c r="F3" s="22" t="s">
        <v>8730</v>
      </c>
      <c r="G3" s="39" t="s">
        <v>797</v>
      </c>
    </row>
    <row r="4" spans="1:7">
      <c r="A4" s="39" t="s">
        <v>855</v>
      </c>
      <c r="B4" s="46" t="str">
        <f>IF(ISBLANK(DPA_DELT[[#This Row],[Data Processing Activity ID]]),"-",IF(ISERROR(VLOOKUP(DPA_DELT[[#This Row],[Data Processing Activity ID]],DATA_PROCESSING_ACTIVITY[],2,FALSE)),"Not found",VLOOKUP(DPA_DELT[[#This Row],[Data Processing Activity ID]],DATA_PROCESSING_ACTIVITY[],2,FALSE)))</f>
        <v>ContractAdministration</v>
      </c>
      <c r="C4" s="46" t="str">
        <f>IF(ISBLANK(DPA_DELT[[#This Row],[Data Processing Activity ID]]),"-",IF(ISERROR(VLOOKUP(DPA_DELT[[#This Row],[Data Processing Activity ID]],DATA_PROCESSING_ACTIVITY[],3,FALSE)),"Not found",VLOOKUP(DPA_DELT[[#This Row],[Data Processing Activity ID]],DATA_PROCESSING_ACTIVITY[],3,FALSE)))</f>
        <v>Contract Administration</v>
      </c>
      <c r="D4" s="39" t="s">
        <v>832</v>
      </c>
      <c r="E4" s="46" t="str">
        <f>IF(ISBLANK(DPA_DELT[[#This Row],[Data Element ID]]),"-",IF(ISERROR(VLOOKUP(DPA_DELT[[#This Row],[Data Element ID]],DATA_ELEMENT[],2,FALSE)),"Not found",VLOOKUP(DPA_DELT[[#This Row],[Data Element ID]],DATA_ELEMENT[],2,FALSE)))</f>
        <v>PolicyIdentifier</v>
      </c>
      <c r="F4" s="46" t="str">
        <f>IF(ISBLANK(DPA_DELT[[#This Row],[Data Element ID]]),"-",IF(ISERROR(VLOOKUP(DPA_DELT[[#This Row],[Data Element ID]],DATA_ELEMENT[],3,FALSE)),"Not found",VLOOKUP(DPA_DELT[[#This Row],[Data Element ID]],DATA_ELEMENT[],3,FALSE)))</f>
        <v>Policy Identifier</v>
      </c>
      <c r="G4" s="39" t="s">
        <v>799</v>
      </c>
    </row>
    <row r="5" spans="1:7">
      <c r="A5" s="39" t="s">
        <v>855</v>
      </c>
      <c r="B5" s="46" t="str">
        <f>IF(ISBLANK(DPA_DELT[[#This Row],[Data Processing Activity ID]]),"-",IF(ISERROR(VLOOKUP(DPA_DELT[[#This Row],[Data Processing Activity ID]],DATA_PROCESSING_ACTIVITY[],2,FALSE)),"Not found",VLOOKUP(DPA_DELT[[#This Row],[Data Processing Activity ID]],DATA_PROCESSING_ACTIVITY[],2,FALSE)))</f>
        <v>ContractAdministration</v>
      </c>
      <c r="C5" s="46" t="str">
        <f>IF(ISBLANK(DPA_DELT[[#This Row],[Data Processing Activity ID]]),"-",IF(ISERROR(VLOOKUP(DPA_DELT[[#This Row],[Data Processing Activity ID]],DATA_PROCESSING_ACTIVITY[],3,FALSE)),"Not found",VLOOKUP(DPA_DELT[[#This Row],[Data Processing Activity ID]],DATA_PROCESSING_ACTIVITY[],3,FALSE)))</f>
        <v>Contract Administration</v>
      </c>
      <c r="D5" s="39" t="s">
        <v>833</v>
      </c>
      <c r="E5" s="46" t="str">
        <f>IF(ISBLANK(DPA_DELT[[#This Row],[Data Element ID]]),"-",IF(ISERROR(VLOOKUP(DPA_DELT[[#This Row],[Data Element ID]],DATA_ELEMENT[],2,FALSE)),"Not found",VLOOKUP(DPA_DELT[[#This Row],[Data Element ID]],DATA_ELEMENT[],2,FALSE)))</f>
        <v>PolicyNumber</v>
      </c>
      <c r="F5" s="46" t="str">
        <f>IF(ISBLANK(DPA_DELT[[#This Row],[Data Element ID]]),"-",IF(ISERROR(VLOOKUP(DPA_DELT[[#This Row],[Data Element ID]],DATA_ELEMENT[],3,FALSE)),"Not found",VLOOKUP(DPA_DELT[[#This Row],[Data Element ID]],DATA_ELEMENT[],3,FALSE)))</f>
        <v>Policy Number</v>
      </c>
      <c r="G5" s="39" t="s">
        <v>701</v>
      </c>
    </row>
    <row r="6" spans="1:7">
      <c r="A6" s="39" t="s">
        <v>855</v>
      </c>
      <c r="B6" s="46" t="str">
        <f>IF(ISBLANK(DPA_DELT[[#This Row],[Data Processing Activity ID]]),"-",IF(ISERROR(VLOOKUP(DPA_DELT[[#This Row],[Data Processing Activity ID]],DATA_PROCESSING_ACTIVITY[],2,FALSE)),"Not found",VLOOKUP(DPA_DELT[[#This Row],[Data Processing Activity ID]],DATA_PROCESSING_ACTIVITY[],2,FALSE)))</f>
        <v>ContractAdministration</v>
      </c>
      <c r="C6" s="46" t="str">
        <f>IF(ISBLANK(DPA_DELT[[#This Row],[Data Processing Activity ID]]),"-",IF(ISERROR(VLOOKUP(DPA_DELT[[#This Row],[Data Processing Activity ID]],DATA_PROCESSING_ACTIVITY[],3,FALSE)),"Not found",VLOOKUP(DPA_DELT[[#This Row],[Data Processing Activity ID]],DATA_PROCESSING_ACTIVITY[],3,FALSE)))</f>
        <v>Contract Administration</v>
      </c>
      <c r="D6" s="39" t="s">
        <v>834</v>
      </c>
      <c r="E6" s="46" t="str">
        <f>IF(ISBLANK(DPA_DELT[[#This Row],[Data Element ID]]),"-",IF(ISERROR(VLOOKUP(DPA_DELT[[#This Row],[Data Element ID]],DATA_ELEMENT[],2,FALSE)),"Not found",VLOOKUP(DPA_DELT[[#This Row],[Data Element ID]],DATA_ELEMENT[],2,FALSE)))</f>
        <v>PolicyStatusCode</v>
      </c>
      <c r="F6" s="46" t="str">
        <f>IF(ISBLANK(DPA_DELT[[#This Row],[Data Element ID]]),"-",IF(ISERROR(VLOOKUP(DPA_DELT[[#This Row],[Data Element ID]],DATA_ELEMENT[],3,FALSE)),"Not found",VLOOKUP(DPA_DELT[[#This Row],[Data Element ID]],DATA_ELEMENT[],3,FALSE)))</f>
        <v>Policy Status Code</v>
      </c>
      <c r="G6" s="39" t="s">
        <v>701</v>
      </c>
    </row>
    <row r="7" spans="1:7">
      <c r="A7" s="39" t="s">
        <v>855</v>
      </c>
      <c r="B7" s="46" t="str">
        <f>IF(ISBLANK(DPA_DELT[[#This Row],[Data Processing Activity ID]]),"-",IF(ISERROR(VLOOKUP(DPA_DELT[[#This Row],[Data Processing Activity ID]],DATA_PROCESSING_ACTIVITY[],2,FALSE)),"Not found",VLOOKUP(DPA_DELT[[#This Row],[Data Processing Activity ID]],DATA_PROCESSING_ACTIVITY[],2,FALSE)))</f>
        <v>ContractAdministration</v>
      </c>
      <c r="C7" s="46" t="str">
        <f>IF(ISBLANK(DPA_DELT[[#This Row],[Data Processing Activity ID]]),"-",IF(ISERROR(VLOOKUP(DPA_DELT[[#This Row],[Data Processing Activity ID]],DATA_PROCESSING_ACTIVITY[],3,FALSE)),"Not found",VLOOKUP(DPA_DELT[[#This Row],[Data Processing Activity ID]],DATA_PROCESSING_ACTIVITY[],3,FALSE)))</f>
        <v>Contract Administration</v>
      </c>
      <c r="D7" s="39" t="s">
        <v>835</v>
      </c>
      <c r="E7" s="46" t="str">
        <f>IF(ISBLANK(DPA_DELT[[#This Row],[Data Element ID]]),"-",IF(ISERROR(VLOOKUP(DPA_DELT[[#This Row],[Data Element ID]],DATA_ELEMENT[],2,FALSE)),"Not found",VLOOKUP(DPA_DELT[[#This Row],[Data Element ID]],DATA_ELEMENT[],2,FALSE)))</f>
        <v>EffectiveStartDate</v>
      </c>
      <c r="F7" s="46" t="str">
        <f>IF(ISBLANK(DPA_DELT[[#This Row],[Data Element ID]]),"-",IF(ISERROR(VLOOKUP(DPA_DELT[[#This Row],[Data Element ID]],DATA_ELEMENT[],3,FALSE)),"Not found",VLOOKUP(DPA_DELT[[#This Row],[Data Element ID]],DATA_ELEMENT[],3,FALSE)))</f>
        <v>Effective Start Date</v>
      </c>
      <c r="G7" s="39" t="s">
        <v>701</v>
      </c>
    </row>
    <row r="8" spans="1:7">
      <c r="A8" s="39" t="s">
        <v>855</v>
      </c>
      <c r="B8" s="46" t="str">
        <f>IF(ISBLANK(DPA_DELT[[#This Row],[Data Processing Activity ID]]),"-",IF(ISERROR(VLOOKUP(DPA_DELT[[#This Row],[Data Processing Activity ID]],DATA_PROCESSING_ACTIVITY[],2,FALSE)),"Not found",VLOOKUP(DPA_DELT[[#This Row],[Data Processing Activity ID]],DATA_PROCESSING_ACTIVITY[],2,FALSE)))</f>
        <v>ContractAdministration</v>
      </c>
      <c r="C8" s="46" t="str">
        <f>IF(ISBLANK(DPA_DELT[[#This Row],[Data Processing Activity ID]]),"-",IF(ISERROR(VLOOKUP(DPA_DELT[[#This Row],[Data Processing Activity ID]],DATA_PROCESSING_ACTIVITY[],3,FALSE)),"Not found",VLOOKUP(DPA_DELT[[#This Row],[Data Processing Activity ID]],DATA_PROCESSING_ACTIVITY[],3,FALSE)))</f>
        <v>Contract Administration</v>
      </c>
      <c r="D8" s="39" t="s">
        <v>836</v>
      </c>
      <c r="E8" s="46" t="str">
        <f>IF(ISBLANK(DPA_DELT[[#This Row],[Data Element ID]]),"-",IF(ISERROR(VLOOKUP(DPA_DELT[[#This Row],[Data Element ID]],DATA_ELEMENT[],2,FALSE)),"Not found",VLOOKUP(DPA_DELT[[#This Row],[Data Element ID]],DATA_ELEMENT[],2,FALSE)))</f>
        <v>InitialEffectiveDate</v>
      </c>
      <c r="F8" s="46" t="str">
        <f>IF(ISBLANK(DPA_DELT[[#This Row],[Data Element ID]]),"-",IF(ISERROR(VLOOKUP(DPA_DELT[[#This Row],[Data Element ID]],DATA_ELEMENT[],3,FALSE)),"Not found",VLOOKUP(DPA_DELT[[#This Row],[Data Element ID]],DATA_ELEMENT[],3,FALSE)))</f>
        <v>Initial Effective Date</v>
      </c>
      <c r="G8" s="39" t="s">
        <v>799</v>
      </c>
    </row>
    <row r="9" spans="1:7">
      <c r="A9" s="39" t="s">
        <v>855</v>
      </c>
      <c r="B9" s="46" t="str">
        <f>IF(ISBLANK(DPA_DELT[[#This Row],[Data Processing Activity ID]]),"-",IF(ISERROR(VLOOKUP(DPA_DELT[[#This Row],[Data Processing Activity ID]],DATA_PROCESSING_ACTIVITY[],2,FALSE)),"Not found",VLOOKUP(DPA_DELT[[#This Row],[Data Processing Activity ID]],DATA_PROCESSING_ACTIVITY[],2,FALSE)))</f>
        <v>ContractAdministration</v>
      </c>
      <c r="C9" s="46" t="str">
        <f>IF(ISBLANK(DPA_DELT[[#This Row],[Data Processing Activity ID]]),"-",IF(ISERROR(VLOOKUP(DPA_DELT[[#This Row],[Data Processing Activity ID]],DATA_PROCESSING_ACTIVITY[],3,FALSE)),"Not found",VLOOKUP(DPA_DELT[[#This Row],[Data Processing Activity ID]],DATA_PROCESSING_ACTIVITY[],3,FALSE)))</f>
        <v>Contract Administration</v>
      </c>
      <c r="D9" s="39" t="s">
        <v>837</v>
      </c>
      <c r="E9" s="46" t="str">
        <f>IF(ISBLANK(DPA_DELT[[#This Row],[Data Element ID]]),"-",IF(ISERROR(VLOOKUP(DPA_DELT[[#This Row],[Data Element ID]],DATA_ELEMENT[],2,FALSE)),"Not found",VLOOKUP(DPA_DELT[[#This Row],[Data Element ID]],DATA_ELEMENT[],2,FALSE)))</f>
        <v>ExpirationDate</v>
      </c>
      <c r="F9" s="46" t="str">
        <f>IF(ISBLANK(DPA_DELT[[#This Row],[Data Element ID]]),"-",IF(ISERROR(VLOOKUP(DPA_DELT[[#This Row],[Data Element ID]],DATA_ELEMENT[],3,FALSE)),"Not found",VLOOKUP(DPA_DELT[[#This Row],[Data Element ID]],DATA_ELEMENT[],3,FALSE)))</f>
        <v>Expiration Date</v>
      </c>
      <c r="G9" s="39" t="s">
        <v>701</v>
      </c>
    </row>
    <row r="10" spans="1:7">
      <c r="A10" s="39" t="s">
        <v>855</v>
      </c>
      <c r="B10" s="46" t="str">
        <f>IF(ISBLANK(DPA_DELT[[#This Row],[Data Processing Activity ID]]),"-",IF(ISERROR(VLOOKUP(DPA_DELT[[#This Row],[Data Processing Activity ID]],DATA_PROCESSING_ACTIVITY[],2,FALSE)),"Not found",VLOOKUP(DPA_DELT[[#This Row],[Data Processing Activity ID]],DATA_PROCESSING_ACTIVITY[],2,FALSE)))</f>
        <v>ContractAdministration</v>
      </c>
      <c r="C10" s="46" t="str">
        <f>IF(ISBLANK(DPA_DELT[[#This Row],[Data Processing Activity ID]]),"-",IF(ISERROR(VLOOKUP(DPA_DELT[[#This Row],[Data Processing Activity ID]],DATA_PROCESSING_ACTIVITY[],3,FALSE)),"Not found",VLOOKUP(DPA_DELT[[#This Row],[Data Processing Activity ID]],DATA_PROCESSING_ACTIVITY[],3,FALSE)))</f>
        <v>Contract Administration</v>
      </c>
      <c r="D10" s="39" t="s">
        <v>838</v>
      </c>
      <c r="E10" s="46" t="str">
        <f>IF(ISBLANK(DPA_DELT[[#This Row],[Data Element ID]]),"-",IF(ISERROR(VLOOKUP(DPA_DELT[[#This Row],[Data Element ID]],DATA_ELEMENT[],2,FALSE)),"Not found",VLOOKUP(DPA_DELT[[#This Row],[Data Element ID]],DATA_ELEMENT[],2,FALSE)))</f>
        <v>ExpirationDescription</v>
      </c>
      <c r="F10" s="46" t="str">
        <f>IF(ISBLANK(DPA_DELT[[#This Row],[Data Element ID]]),"-",IF(ISERROR(VLOOKUP(DPA_DELT[[#This Row],[Data Element ID]],DATA_ELEMENT[],3,FALSE)),"Not found",VLOOKUP(DPA_DELT[[#This Row],[Data Element ID]],DATA_ELEMENT[],3,FALSE)))</f>
        <v>Expiration Description</v>
      </c>
      <c r="G10" s="39" t="s">
        <v>799</v>
      </c>
    </row>
    <row r="11" spans="1:7">
      <c r="A11" s="39" t="s">
        <v>828</v>
      </c>
      <c r="B11" s="46" t="str">
        <f>IF(ISBLANK(DPA_DELT[[#This Row],[Data Processing Activity ID]]),"-",IF(ISERROR(VLOOKUP(DPA_DELT[[#This Row],[Data Processing Activity ID]],DATA_PROCESSING_ACTIVITY[],2,FALSE)),"Not found",VLOOKUP(DPA_DELT[[#This Row],[Data Processing Activity ID]],DATA_PROCESSING_ACTIVITY[],2,FALSE)))</f>
        <v>ContractBilling</v>
      </c>
      <c r="C11" s="46" t="str">
        <f>IF(ISBLANK(DPA_DELT[[#This Row],[Data Processing Activity ID]]),"-",IF(ISERROR(VLOOKUP(DPA_DELT[[#This Row],[Data Processing Activity ID]],DATA_PROCESSING_ACTIVITY[],3,FALSE)),"Not found",VLOOKUP(DPA_DELT[[#This Row],[Data Processing Activity ID]],DATA_PROCESSING_ACTIVITY[],3,FALSE)))</f>
        <v>Contract Billing</v>
      </c>
      <c r="D11" s="39" t="s">
        <v>833</v>
      </c>
      <c r="E11" s="46" t="str">
        <f>IF(ISBLANK(DPA_DELT[[#This Row],[Data Element ID]]),"-",IF(ISERROR(VLOOKUP(DPA_DELT[[#This Row],[Data Element ID]],DATA_ELEMENT[],2,FALSE)),"Not found",VLOOKUP(DPA_DELT[[#This Row],[Data Element ID]],DATA_ELEMENT[],2,FALSE)))</f>
        <v>PolicyNumber</v>
      </c>
      <c r="F11" s="46" t="str">
        <f>IF(ISBLANK(DPA_DELT[[#This Row],[Data Element ID]]),"-",IF(ISERROR(VLOOKUP(DPA_DELT[[#This Row],[Data Element ID]],DATA_ELEMENT[],3,FALSE)),"Not found",VLOOKUP(DPA_DELT[[#This Row],[Data Element ID]],DATA_ELEMENT[],3,FALSE)))</f>
        <v>Policy Number</v>
      </c>
      <c r="G11" s="39"/>
    </row>
    <row r="12" spans="1:7">
      <c r="A12" s="39" t="s">
        <v>828</v>
      </c>
      <c r="B12" s="46" t="str">
        <f>IF(ISBLANK(DPA_DELT[[#This Row],[Data Processing Activity ID]]),"-",IF(ISERROR(VLOOKUP(DPA_DELT[[#This Row],[Data Processing Activity ID]],DATA_PROCESSING_ACTIVITY[],2,FALSE)),"Not found",VLOOKUP(DPA_DELT[[#This Row],[Data Processing Activity ID]],DATA_PROCESSING_ACTIVITY[],2,FALSE)))</f>
        <v>ContractBilling</v>
      </c>
      <c r="C12" s="46" t="str">
        <f>IF(ISBLANK(DPA_DELT[[#This Row],[Data Processing Activity ID]]),"-",IF(ISERROR(VLOOKUP(DPA_DELT[[#This Row],[Data Processing Activity ID]],DATA_PROCESSING_ACTIVITY[],3,FALSE)),"Not found",VLOOKUP(DPA_DELT[[#This Row],[Data Processing Activity ID]],DATA_PROCESSING_ACTIVITY[],3,FALSE)))</f>
        <v>Contract Billing</v>
      </c>
      <c r="D12" s="39" t="s">
        <v>834</v>
      </c>
      <c r="E12" s="46" t="str">
        <f>IF(ISBLANK(DPA_DELT[[#This Row],[Data Element ID]]),"-",IF(ISERROR(VLOOKUP(DPA_DELT[[#This Row],[Data Element ID]],DATA_ELEMENT[],2,FALSE)),"Not found",VLOOKUP(DPA_DELT[[#This Row],[Data Element ID]],DATA_ELEMENT[],2,FALSE)))</f>
        <v>PolicyStatusCode</v>
      </c>
      <c r="F12" s="46" t="str">
        <f>IF(ISBLANK(DPA_DELT[[#This Row],[Data Element ID]]),"-",IF(ISERROR(VLOOKUP(DPA_DELT[[#This Row],[Data Element ID]],DATA_ELEMENT[],3,FALSE)),"Not found",VLOOKUP(DPA_DELT[[#This Row],[Data Element ID]],DATA_ELEMENT[],3,FALSE)))</f>
        <v>Policy Status Code</v>
      </c>
      <c r="G12" s="39"/>
    </row>
    <row r="13" spans="1:7">
      <c r="A13" s="39" t="s">
        <v>828</v>
      </c>
      <c r="B13" s="46" t="str">
        <f>IF(ISBLANK(DPA_DELT[[#This Row],[Data Processing Activity ID]]),"-",IF(ISERROR(VLOOKUP(DPA_DELT[[#This Row],[Data Processing Activity ID]],DATA_PROCESSING_ACTIVITY[],2,FALSE)),"Not found",VLOOKUP(DPA_DELT[[#This Row],[Data Processing Activity ID]],DATA_PROCESSING_ACTIVITY[],2,FALSE)))</f>
        <v>ContractBilling</v>
      </c>
      <c r="C13" s="46" t="str">
        <f>IF(ISBLANK(DPA_DELT[[#This Row],[Data Processing Activity ID]]),"-",IF(ISERROR(VLOOKUP(DPA_DELT[[#This Row],[Data Processing Activity ID]],DATA_PROCESSING_ACTIVITY[],3,FALSE)),"Not found",VLOOKUP(DPA_DELT[[#This Row],[Data Processing Activity ID]],DATA_PROCESSING_ACTIVITY[],3,FALSE)))</f>
        <v>Contract Billing</v>
      </c>
      <c r="D13" s="39" t="s">
        <v>835</v>
      </c>
      <c r="E13" s="46" t="str">
        <f>IF(ISBLANK(DPA_DELT[[#This Row],[Data Element ID]]),"-",IF(ISERROR(VLOOKUP(DPA_DELT[[#This Row],[Data Element ID]],DATA_ELEMENT[],2,FALSE)),"Not found",VLOOKUP(DPA_DELT[[#This Row],[Data Element ID]],DATA_ELEMENT[],2,FALSE)))</f>
        <v>EffectiveStartDate</v>
      </c>
      <c r="F13" s="46" t="str">
        <f>IF(ISBLANK(DPA_DELT[[#This Row],[Data Element ID]]),"-",IF(ISERROR(VLOOKUP(DPA_DELT[[#This Row],[Data Element ID]],DATA_ELEMENT[],3,FALSE)),"Not found",VLOOKUP(DPA_DELT[[#This Row],[Data Element ID]],DATA_ELEMENT[],3,FALSE)))</f>
        <v>Effective Start Date</v>
      </c>
      <c r="G13" s="39"/>
    </row>
    <row r="14" spans="1:7">
      <c r="A14" s="39"/>
      <c r="B14" s="46" t="str">
        <f>IF(ISBLANK(DPA_DELT[[#This Row],[Data Processing Activity ID]]),"-",IF(ISERROR(VLOOKUP(DPA_DELT[[#This Row],[Data Processing Activity ID]],DATA_PROCESSING_ACTIVITY[],2,FALSE)),"Not found",VLOOKUP(DPA_DELT[[#This Row],[Data Processing Activity ID]],DATA_PROCESSING_ACTIVITY[],2,FALSE)))</f>
        <v>-</v>
      </c>
      <c r="C14" s="46" t="str">
        <f>IF(ISBLANK(DPA_DELT[[#This Row],[Data Processing Activity ID]]),"-",IF(ISERROR(VLOOKUP(DPA_DELT[[#This Row],[Data Processing Activity ID]],DATA_PROCESSING_ACTIVITY[],3,FALSE)),"Not found",VLOOKUP(DPA_DELT[[#This Row],[Data Processing Activity ID]],DATA_PROCESSING_ACTIVITY[],3,FALSE)))</f>
        <v>-</v>
      </c>
      <c r="D14" s="39"/>
      <c r="E14" s="46" t="str">
        <f>IF(ISBLANK(DPA_DELT[[#This Row],[Data Element ID]]),"-",IF(ISERROR(VLOOKUP(DPA_DELT[[#This Row],[Data Element ID]],DATA_ELEMENT[],2,FALSE)),"Not found",VLOOKUP(DPA_DELT[[#This Row],[Data Element ID]],DATA_ELEMENT[],2,FALSE)))</f>
        <v>-</v>
      </c>
      <c r="F14" s="46" t="str">
        <f>IF(ISBLANK(DPA_DELT[[#This Row],[Data Element ID]]),"-",IF(ISERROR(VLOOKUP(DPA_DELT[[#This Row],[Data Element ID]],DATA_ELEMENT[],3,FALSE)),"Not found",VLOOKUP(DPA_DELT[[#This Row],[Data Element ID]],DATA_ELEMENT[],3,FALSE)))</f>
        <v>-</v>
      </c>
      <c r="G14" s="39"/>
    </row>
    <row r="15" spans="1:7">
      <c r="A15" s="39"/>
      <c r="B15" s="46" t="str">
        <f>IF(ISBLANK(DPA_DELT[[#This Row],[Data Processing Activity ID]]),"-",IF(ISERROR(VLOOKUP(DPA_DELT[[#This Row],[Data Processing Activity ID]],DATA_PROCESSING_ACTIVITY[],2,FALSE)),"Not found",VLOOKUP(DPA_DELT[[#This Row],[Data Processing Activity ID]],DATA_PROCESSING_ACTIVITY[],2,FALSE)))</f>
        <v>-</v>
      </c>
      <c r="C15" s="46" t="str">
        <f>IF(ISBLANK(DPA_DELT[[#This Row],[Data Processing Activity ID]]),"-",IF(ISERROR(VLOOKUP(DPA_DELT[[#This Row],[Data Processing Activity ID]],DATA_PROCESSING_ACTIVITY[],3,FALSE)),"Not found",VLOOKUP(DPA_DELT[[#This Row],[Data Processing Activity ID]],DATA_PROCESSING_ACTIVITY[],3,FALSE)))</f>
        <v>-</v>
      </c>
      <c r="D15" s="39"/>
      <c r="E15" s="46" t="str">
        <f>IF(ISBLANK(DPA_DELT[[#This Row],[Data Element ID]]),"-",IF(ISERROR(VLOOKUP(DPA_DELT[[#This Row],[Data Element ID]],DATA_ELEMENT[],2,FALSE)),"Not found",VLOOKUP(DPA_DELT[[#This Row],[Data Element ID]],DATA_ELEMENT[],2,FALSE)))</f>
        <v>-</v>
      </c>
      <c r="F15" s="46" t="str">
        <f>IF(ISBLANK(DPA_DELT[[#This Row],[Data Element ID]]),"-",IF(ISERROR(VLOOKUP(DPA_DELT[[#This Row],[Data Element ID]],DATA_ELEMENT[],3,FALSE)),"Not found",VLOOKUP(DPA_DELT[[#This Row],[Data Element ID]],DATA_ELEMENT[],3,FALSE)))</f>
        <v>-</v>
      </c>
      <c r="G15" s="39"/>
    </row>
    <row r="16" spans="1:7">
      <c r="A16" s="39"/>
      <c r="B16" s="46" t="str">
        <f>IF(ISBLANK(DPA_DELT[[#This Row],[Data Processing Activity ID]]),"-",IF(ISERROR(VLOOKUP(DPA_DELT[[#This Row],[Data Processing Activity ID]],DATA_PROCESSING_ACTIVITY[],2,FALSE)),"Not found",VLOOKUP(DPA_DELT[[#This Row],[Data Processing Activity ID]],DATA_PROCESSING_ACTIVITY[],2,FALSE)))</f>
        <v>-</v>
      </c>
      <c r="C16" s="46" t="str">
        <f>IF(ISBLANK(DPA_DELT[[#This Row],[Data Processing Activity ID]]),"-",IF(ISERROR(VLOOKUP(DPA_DELT[[#This Row],[Data Processing Activity ID]],DATA_PROCESSING_ACTIVITY[],3,FALSE)),"Not found",VLOOKUP(DPA_DELT[[#This Row],[Data Processing Activity ID]],DATA_PROCESSING_ACTIVITY[],3,FALSE)))</f>
        <v>-</v>
      </c>
      <c r="D16" s="39"/>
      <c r="E16" s="46" t="str">
        <f>IF(ISBLANK(DPA_DELT[[#This Row],[Data Element ID]]),"-",IF(ISERROR(VLOOKUP(DPA_DELT[[#This Row],[Data Element ID]],DATA_ELEMENT[],2,FALSE)),"Not found",VLOOKUP(DPA_DELT[[#This Row],[Data Element ID]],DATA_ELEMENT[],2,FALSE)))</f>
        <v>-</v>
      </c>
      <c r="F16" s="46" t="str">
        <f>IF(ISBLANK(DPA_DELT[[#This Row],[Data Element ID]]),"-",IF(ISERROR(VLOOKUP(DPA_DELT[[#This Row],[Data Element ID]],DATA_ELEMENT[],3,FALSE)),"Not found",VLOOKUP(DPA_DELT[[#This Row],[Data Element ID]],DATA_ELEMENT[],3,FALSE)))</f>
        <v>-</v>
      </c>
      <c r="G16" s="39"/>
    </row>
    <row r="17" spans="1:7">
      <c r="A17" s="39"/>
      <c r="B17" s="46" t="str">
        <f>IF(ISBLANK(DPA_DELT[[#This Row],[Data Processing Activity ID]]),"-",IF(ISERROR(VLOOKUP(DPA_DELT[[#This Row],[Data Processing Activity ID]],DATA_PROCESSING_ACTIVITY[],2,FALSE)),"Not found",VLOOKUP(DPA_DELT[[#This Row],[Data Processing Activity ID]],DATA_PROCESSING_ACTIVITY[],2,FALSE)))</f>
        <v>-</v>
      </c>
      <c r="C17" s="46" t="str">
        <f>IF(ISBLANK(DPA_DELT[[#This Row],[Data Processing Activity ID]]),"-",IF(ISERROR(VLOOKUP(DPA_DELT[[#This Row],[Data Processing Activity ID]],DATA_PROCESSING_ACTIVITY[],3,FALSE)),"Not found",VLOOKUP(DPA_DELT[[#This Row],[Data Processing Activity ID]],DATA_PROCESSING_ACTIVITY[],3,FALSE)))</f>
        <v>-</v>
      </c>
      <c r="D17" s="39"/>
      <c r="E17" s="46" t="str">
        <f>IF(ISBLANK(DPA_DELT[[#This Row],[Data Element ID]]),"-",IF(ISERROR(VLOOKUP(DPA_DELT[[#This Row],[Data Element ID]],DATA_ELEMENT[],2,FALSE)),"Not found",VLOOKUP(DPA_DELT[[#This Row],[Data Element ID]],DATA_ELEMENT[],2,FALSE)))</f>
        <v>-</v>
      </c>
      <c r="F17" s="46" t="str">
        <f>IF(ISBLANK(DPA_DELT[[#This Row],[Data Element ID]]),"-",IF(ISERROR(VLOOKUP(DPA_DELT[[#This Row],[Data Element ID]],DATA_ELEMENT[],3,FALSE)),"Not found",VLOOKUP(DPA_DELT[[#This Row],[Data Element ID]],DATA_ELEMENT[],3,FALSE)))</f>
        <v>-</v>
      </c>
      <c r="G17" s="39"/>
    </row>
    <row r="18" spans="1:7">
      <c r="A18" s="39"/>
      <c r="B18" s="46" t="str">
        <f>IF(ISBLANK(DPA_DELT[[#This Row],[Data Processing Activity ID]]),"-",IF(ISERROR(VLOOKUP(DPA_DELT[[#This Row],[Data Processing Activity ID]],DATA_PROCESSING_ACTIVITY[],2,FALSE)),"Not found",VLOOKUP(DPA_DELT[[#This Row],[Data Processing Activity ID]],DATA_PROCESSING_ACTIVITY[],2,FALSE)))</f>
        <v>-</v>
      </c>
      <c r="C18" s="46" t="str">
        <f>IF(ISBLANK(DPA_DELT[[#This Row],[Data Processing Activity ID]]),"-",IF(ISERROR(VLOOKUP(DPA_DELT[[#This Row],[Data Processing Activity ID]],DATA_PROCESSING_ACTIVITY[],3,FALSE)),"Not found",VLOOKUP(DPA_DELT[[#This Row],[Data Processing Activity ID]],DATA_PROCESSING_ACTIVITY[],3,FALSE)))</f>
        <v>-</v>
      </c>
      <c r="D18" s="39"/>
      <c r="E18" s="46" t="str">
        <f>IF(ISBLANK(DPA_DELT[[#This Row],[Data Element ID]]),"-",IF(ISERROR(VLOOKUP(DPA_DELT[[#This Row],[Data Element ID]],DATA_ELEMENT[],2,FALSE)),"Not found",VLOOKUP(DPA_DELT[[#This Row],[Data Element ID]],DATA_ELEMENT[],2,FALSE)))</f>
        <v>-</v>
      </c>
      <c r="F18" s="46" t="str">
        <f>IF(ISBLANK(DPA_DELT[[#This Row],[Data Element ID]]),"-",IF(ISERROR(VLOOKUP(DPA_DELT[[#This Row],[Data Element ID]],DATA_ELEMENT[],3,FALSE)),"Not found",VLOOKUP(DPA_DELT[[#This Row],[Data Element ID]],DATA_ELEMENT[],3,FALSE)))</f>
        <v>-</v>
      </c>
      <c r="G18" s="39"/>
    </row>
    <row r="19" spans="1:7">
      <c r="A19" s="39"/>
      <c r="B19" s="46" t="str">
        <f>IF(ISBLANK(DPA_DELT[[#This Row],[Data Processing Activity ID]]),"-",IF(ISERROR(VLOOKUP(DPA_DELT[[#This Row],[Data Processing Activity ID]],DATA_PROCESSING_ACTIVITY[],2,FALSE)),"Not found",VLOOKUP(DPA_DELT[[#This Row],[Data Processing Activity ID]],DATA_PROCESSING_ACTIVITY[],2,FALSE)))</f>
        <v>-</v>
      </c>
      <c r="C19" s="46" t="str">
        <f>IF(ISBLANK(DPA_DELT[[#This Row],[Data Processing Activity ID]]),"-",IF(ISERROR(VLOOKUP(DPA_DELT[[#This Row],[Data Processing Activity ID]],DATA_PROCESSING_ACTIVITY[],3,FALSE)),"Not found",VLOOKUP(DPA_DELT[[#This Row],[Data Processing Activity ID]],DATA_PROCESSING_ACTIVITY[],3,FALSE)))</f>
        <v>-</v>
      </c>
      <c r="D19" s="39"/>
      <c r="E19" s="46" t="str">
        <f>IF(ISBLANK(DPA_DELT[[#This Row],[Data Element ID]]),"-",IF(ISERROR(VLOOKUP(DPA_DELT[[#This Row],[Data Element ID]],DATA_ELEMENT[],2,FALSE)),"Not found",VLOOKUP(DPA_DELT[[#This Row],[Data Element ID]],DATA_ELEMENT[],2,FALSE)))</f>
        <v>-</v>
      </c>
      <c r="F19" s="46" t="str">
        <f>IF(ISBLANK(DPA_DELT[[#This Row],[Data Element ID]]),"-",IF(ISERROR(VLOOKUP(DPA_DELT[[#This Row],[Data Element ID]],DATA_ELEMENT[],3,FALSE)),"Not found",VLOOKUP(DPA_DELT[[#This Row],[Data Element ID]],DATA_ELEMENT[],3,FALSE)))</f>
        <v>-</v>
      </c>
      <c r="G19" s="39"/>
    </row>
  </sheetData>
  <sheetProtection formatRows="0" sort="0" autoFilter="0"/>
  <dataValidations count="4">
    <dataValidation type="list" errorStyle="information" allowBlank="1" showInputMessage="1" showErrorMessage="1" errorTitle="Entry not allowed" error="Please update LOVs" sqref="G4:G19" xr:uid="{00000000-0002-0000-1900-000000000000}">
      <formula1>IMPORTANCELVL</formula1>
    </dataValidation>
    <dataValidation type="list" errorStyle="information" allowBlank="1" showInputMessage="1" showErrorMessage="1" errorTitle="Entry not allowed" sqref="A4:A19" xr:uid="{00000000-0002-0000-1900-000001000000}">
      <formula1>INDIRECT("DATA_PROCESSING_ACTIVITY[ID]")</formula1>
    </dataValidation>
    <dataValidation type="list" errorStyle="information" allowBlank="1" showInputMessage="1" showErrorMessage="1" errorTitle="Entry not allowed" sqref="D4:D19" xr:uid="{00000000-0002-0000-1900-000002000000}">
      <formula1>INDIRECT("DATA_ELEMENT[ID]")</formula1>
    </dataValidation>
    <dataValidation errorStyle="information" allowBlank="1" showInputMessage="1" showErrorMessage="1" errorTitle="Entry not allowed" sqref="E4:F19 B4:C19" xr:uid="{398AC672-660A-42C1-AE6D-D19F1EC059F9}"/>
  </dataValidations>
  <pageMargins left="0.7" right="0.7" top="0.75" bottom="0.75" header="0.3" footer="0.3"/>
  <pageSetup paperSize="9" orientation="portrait" r:id="rId1"/>
  <drawing r:id="rId2"/>
  <tableParts count="1">
    <tablePart r:id="rId3"/>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Feuil27"/>
  <dimension ref="A1:F10"/>
  <sheetViews>
    <sheetView workbookViewId="0"/>
  </sheetViews>
  <sheetFormatPr baseColWidth="10" defaultColWidth="11.42578125" defaultRowHeight="15"/>
  <cols>
    <col min="1" max="1" width="26.42578125" customWidth="1"/>
    <col min="2" max="3" width="33.140625" customWidth="1"/>
    <col min="4" max="4" width="29.28515625" customWidth="1"/>
    <col min="5" max="5" width="33" bestFit="1" customWidth="1"/>
    <col min="6" max="6" width="49.7109375" customWidth="1"/>
    <col min="7" max="7" width="11.140625" customWidth="1"/>
  </cols>
  <sheetData>
    <row r="1" spans="1:6">
      <c r="A1" s="1"/>
      <c r="B1" s="43" t="s">
        <v>820</v>
      </c>
      <c r="C1" s="43" t="s">
        <v>820</v>
      </c>
      <c r="D1" s="1"/>
      <c r="E1" s="43" t="s">
        <v>820</v>
      </c>
      <c r="F1" s="43" t="s">
        <v>820</v>
      </c>
    </row>
    <row r="2" spans="1:6">
      <c r="A2" s="1"/>
      <c r="B2" s="1"/>
      <c r="C2" s="1"/>
      <c r="D2" s="1"/>
      <c r="E2" s="1"/>
      <c r="F2" s="1"/>
    </row>
    <row r="3" spans="1:6">
      <c r="A3" s="39" t="s">
        <v>768</v>
      </c>
      <c r="B3" s="22" t="s">
        <v>8736</v>
      </c>
      <c r="C3" s="22" t="s">
        <v>8737</v>
      </c>
      <c r="D3" s="39" t="s">
        <v>801</v>
      </c>
      <c r="E3" s="22" t="s">
        <v>8738</v>
      </c>
      <c r="F3" s="22" t="s">
        <v>8739</v>
      </c>
    </row>
    <row r="4" spans="1:6" ht="23.25">
      <c r="A4" s="39" t="s">
        <v>858</v>
      </c>
      <c r="B4" s="46" t="str">
        <f>IF(ISBLANK(DPA_BDQRULE[[#This Row],[Data Processing Activity ID]]),"--",IF(ISERROR(VLOOKUP(DPA_BDQRULE[[#This Row],[Data Processing Activity ID]],DATA_PROCESSING_ACTIVITY[],2,FALSE)),"Not found",VLOOKUP(DPA_BDQRULE[[#This Row],[Data Processing Activity ID]],DATA_PROCESSING_ACTIVITY[],2,FALSE)))</f>
        <v>Not found</v>
      </c>
      <c r="C4" s="46" t="str">
        <f>IF(ISBLANK(DPA_BDQRULE[[#This Row],[Data Processing Activity ID]]),"--",IF(ISERROR(VLOOKUP(DPA_BDQRULE[[#This Row],[Data Processing Activity ID]],DATA_PROCESSING_ACTIVITY[],3,FALSE)),"Not found",VLOOKUP(DPA_BDQRULE[[#This Row],[Data Processing Activity ID]],DATA_PROCESSING_ACTIVITY[],3,FALSE)))</f>
        <v>Not found</v>
      </c>
      <c r="D4" s="39" t="s">
        <v>856</v>
      </c>
      <c r="E4" s="46" t="str">
        <f>IF(ISBLANK(DPA_BDQRULE[[#This Row],[Business Data Quality Rule ID]]),"-",IF(ISERROR(VLOOKUP(DPA_BDQRULE[[#This Row],[Business Data Quality Rule ID]],BUSINES_DQ_RULE[],2,FALSE)),"Not found",VLOOKUP(DPA_BDQRULE[[#This Row],[Business Data Quality Rule ID]],BUSINES_DQ_RULE[],2,FALSE)))</f>
        <v>CA001</v>
      </c>
      <c r="F4" s="74" t="str">
        <f>IF(ISBLANK(DPA_BDQRULE[[#This Row],[Business Data Quality Rule ID]]),"-",IF(ISERROR(VLOOKUP(DPA_BDQRULE[[#This Row],[Business Data Quality Rule ID]],BUSINES_DQ_RULE[],3,FALSE)),"Not found",VLOOKUP(DPA_BDQRULE[[#This Row],[Business Data Quality Rule ID]],BUSINES_DQ_RULE[],3,FALSE)))</f>
        <v>Completeness of address information of the place of the event causing vehicle repair or vehicle towing cases</v>
      </c>
    </row>
    <row r="5" spans="1:6" ht="23.25">
      <c r="A5" s="39" t="s">
        <v>858</v>
      </c>
      <c r="B5" s="46" t="str">
        <f>IF(ISBLANK(DPA_BDQRULE[[#This Row],[Data Processing Activity ID]]),"--",IF(ISERROR(VLOOKUP(DPA_BDQRULE[[#This Row],[Data Processing Activity ID]],DATA_PROCESSING_ACTIVITY[],2,FALSE)),"Not found",VLOOKUP(DPA_BDQRULE[[#This Row],[Data Processing Activity ID]],DATA_PROCESSING_ACTIVITY[],2,FALSE)))</f>
        <v>Not found</v>
      </c>
      <c r="C5" s="46" t="str">
        <f>IF(ISBLANK(DPA_BDQRULE[[#This Row],[Data Processing Activity ID]]),"--",IF(ISERROR(VLOOKUP(DPA_BDQRULE[[#This Row],[Data Processing Activity ID]],DATA_PROCESSING_ACTIVITY[],3,FALSE)),"Not found",VLOOKUP(DPA_BDQRULE[[#This Row],[Data Processing Activity ID]],DATA_PROCESSING_ACTIVITY[],3,FALSE)))</f>
        <v>Not found</v>
      </c>
      <c r="D5" s="39" t="s">
        <v>859</v>
      </c>
      <c r="E5" s="46" t="str">
        <f>IF(ISBLANK(DPA_BDQRULE[[#This Row],[Business Data Quality Rule ID]]),"-",IF(ISERROR(VLOOKUP(DPA_BDQRULE[[#This Row],[Business Data Quality Rule ID]],BUSINES_DQ_RULE[],2,FALSE)),"Not found",VLOOKUP(DPA_BDQRULE[[#This Row],[Business Data Quality Rule ID]],BUSINES_DQ_RULE[],2,FALSE)))</f>
        <v>CA002</v>
      </c>
      <c r="F5" s="74" t="str">
        <f>IF(ISBLANK(DPA_BDQRULE[[#This Row],[Business Data Quality Rule ID]]),"-",IF(ISERROR(VLOOKUP(DPA_BDQRULE[[#This Row],[Business Data Quality Rule ID]],BUSINES_DQ_RULE[],3,FALSE)),"Not found",VLOOKUP(DPA_BDQRULE[[#This Row],[Business Data Quality Rule ID]],BUSINES_DQ_RULE[],3,FALSE)))</f>
        <v>Completenessof GPS coordinates of the place of the event causing vehicle repair or vehicle towing cases</v>
      </c>
    </row>
    <row r="6" spans="1:6">
      <c r="A6" s="39" t="s">
        <v>858</v>
      </c>
      <c r="B6" s="46" t="str">
        <f>IF(ISBLANK(DPA_BDQRULE[[#This Row],[Data Processing Activity ID]]),"--",IF(ISERROR(VLOOKUP(DPA_BDQRULE[[#This Row],[Data Processing Activity ID]],DATA_PROCESSING_ACTIVITY[],2,FALSE)),"Not found",VLOOKUP(DPA_BDQRULE[[#This Row],[Data Processing Activity ID]],DATA_PROCESSING_ACTIVITY[],2,FALSE)))</f>
        <v>Not found</v>
      </c>
      <c r="C6" s="46" t="str">
        <f>IF(ISBLANK(DPA_BDQRULE[[#This Row],[Data Processing Activity ID]]),"--",IF(ISERROR(VLOOKUP(DPA_BDQRULE[[#This Row],[Data Processing Activity ID]],DATA_PROCESSING_ACTIVITY[],3,FALSE)),"Not found",VLOOKUP(DPA_BDQRULE[[#This Row],[Data Processing Activity ID]],DATA_PROCESSING_ACTIVITY[],3,FALSE)))</f>
        <v>Not found</v>
      </c>
      <c r="D6" s="39" t="s">
        <v>860</v>
      </c>
      <c r="E6" s="46" t="str">
        <f>IF(ISBLANK(DPA_BDQRULE[[#This Row],[Business Data Quality Rule ID]]),"-",IF(ISERROR(VLOOKUP(DPA_BDQRULE[[#This Row],[Business Data Quality Rule ID]],BUSINES_DQ_RULE[],2,FALSE)),"Not found",VLOOKUP(DPA_BDQRULE[[#This Row],[Business Data Quality Rule ID]],BUSINES_DQ_RULE[],2,FALSE)))</f>
        <v>CA003</v>
      </c>
      <c r="F6" s="74" t="str">
        <f>IF(ISBLANK(DPA_BDQRULE[[#This Row],[Business Data Quality Rule ID]]),"-",IF(ISERROR(VLOOKUP(DPA_BDQRULE[[#This Row],[Business Data Quality Rule ID]],BUSINES_DQ_RULE[],3,FALSE)),"Not found",VLOOKUP(DPA_BDQRULE[[#This Row],[Business Data Quality Rule ID]],BUSINES_DQ_RULE[],3,FALSE)))</f>
        <v>Retention Rule for Cases</v>
      </c>
    </row>
    <row r="7" spans="1:6">
      <c r="A7" s="39" t="s">
        <v>8747</v>
      </c>
      <c r="B7" s="46" t="str">
        <f>IF(ISBLANK(DPA_BDQRULE[[#This Row],[Data Processing Activity ID]]),"--",IF(ISERROR(VLOOKUP(DPA_BDQRULE[[#This Row],[Data Processing Activity ID]],DATA_PROCESSING_ACTIVITY[],2,FALSE)),"Not found",VLOOKUP(DPA_BDQRULE[[#This Row],[Data Processing Activity ID]],DATA_PROCESSING_ACTIVITY[],2,FALSE)))</f>
        <v>ContractRenewal</v>
      </c>
      <c r="C7" s="46" t="str">
        <f>IF(ISBLANK(DPA_BDQRULE[[#This Row],[Data Processing Activity ID]]),"--",IF(ISERROR(VLOOKUP(DPA_BDQRULE[[#This Row],[Data Processing Activity ID]],DATA_PROCESSING_ACTIVITY[],3,FALSE)),"Not found",VLOOKUP(DPA_BDQRULE[[#This Row],[Data Processing Activity ID]],DATA_PROCESSING_ACTIVITY[],3,FALSE)))</f>
        <v>Contract Renewal</v>
      </c>
      <c r="D7" s="39" t="s">
        <v>860</v>
      </c>
      <c r="E7" s="46" t="str">
        <f>IF(ISBLANK(DPA_BDQRULE[[#This Row],[Business Data Quality Rule ID]]),"-",IF(ISERROR(VLOOKUP(DPA_BDQRULE[[#This Row],[Business Data Quality Rule ID]],BUSINES_DQ_RULE[],2,FALSE)),"Not found",VLOOKUP(DPA_BDQRULE[[#This Row],[Business Data Quality Rule ID]],BUSINES_DQ_RULE[],2,FALSE)))</f>
        <v>CA003</v>
      </c>
      <c r="F7" s="74" t="str">
        <f>IF(ISBLANK(DPA_BDQRULE[[#This Row],[Business Data Quality Rule ID]]),"-",IF(ISERROR(VLOOKUP(DPA_BDQRULE[[#This Row],[Business Data Quality Rule ID]],BUSINES_DQ_RULE[],3,FALSE)),"Not found",VLOOKUP(DPA_BDQRULE[[#This Row],[Business Data Quality Rule ID]],BUSINES_DQ_RULE[],3,FALSE)))</f>
        <v>Retention Rule for Cases</v>
      </c>
    </row>
    <row r="8" spans="1:6">
      <c r="A8" s="39" t="s">
        <v>828</v>
      </c>
      <c r="B8" s="46" t="str">
        <f>IF(ISBLANK(DPA_BDQRULE[[#This Row],[Data Processing Activity ID]]),"--",IF(ISERROR(VLOOKUP(DPA_BDQRULE[[#This Row],[Data Processing Activity ID]],DATA_PROCESSING_ACTIVITY[],2,FALSE)),"Not found",VLOOKUP(DPA_BDQRULE[[#This Row],[Data Processing Activity ID]],DATA_PROCESSING_ACTIVITY[],2,FALSE)))</f>
        <v>ContractBilling</v>
      </c>
      <c r="C8" s="46" t="str">
        <f>IF(ISBLANK(DPA_BDQRULE[[#This Row],[Data Processing Activity ID]]),"--",IF(ISERROR(VLOOKUP(DPA_BDQRULE[[#This Row],[Data Processing Activity ID]],DATA_PROCESSING_ACTIVITY[],3,FALSE)),"Not found",VLOOKUP(DPA_BDQRULE[[#This Row],[Data Processing Activity ID]],DATA_PROCESSING_ACTIVITY[],3,FALSE)))</f>
        <v>Contract Billing</v>
      </c>
      <c r="D8" s="39" t="s">
        <v>8778</v>
      </c>
      <c r="E8" s="46" t="str">
        <f>IF(ISBLANK(DPA_BDQRULE[[#This Row],[Business Data Quality Rule ID]]),"-",IF(ISERROR(VLOOKUP(DPA_BDQRULE[[#This Row],[Business Data Quality Rule ID]],BUSINES_DQ_RULE[],2,FALSE)),"Not found",VLOOKUP(DPA_BDQRULE[[#This Row],[Business Data Quality Rule ID]],BUSINES_DQ_RULE[],2,FALSE)))</f>
        <v>CA004</v>
      </c>
      <c r="F8" s="74" t="str">
        <f>IF(ISBLANK(DPA_BDQRULE[[#This Row],[Business Data Quality Rule ID]]),"-",IF(ISERROR(VLOOKUP(DPA_BDQRULE[[#This Row],[Business Data Quality Rule ID]],BUSINES_DQ_RULE[],3,FALSE)),"Not found",VLOOKUP(DPA_BDQRULE[[#This Row],[Business Data Quality Rule ID]],BUSINES_DQ_RULE[],3,FALSE)))</f>
        <v>Contract expiration rule</v>
      </c>
    </row>
    <row r="9" spans="1:6">
      <c r="A9" s="39"/>
      <c r="B9" s="46" t="str">
        <f>IF(ISBLANK(DPA_BDQRULE[[#This Row],[Data Processing Activity ID]]),"--",IF(ISERROR(VLOOKUP(DPA_BDQRULE[[#This Row],[Data Processing Activity ID]],DATA_PROCESSING_ACTIVITY[],2,FALSE)),"Not found",VLOOKUP(DPA_BDQRULE[[#This Row],[Data Processing Activity ID]],DATA_PROCESSING_ACTIVITY[],2,FALSE)))</f>
        <v>--</v>
      </c>
      <c r="C9" s="46" t="str">
        <f>IF(ISBLANK(DPA_BDQRULE[[#This Row],[Data Processing Activity ID]]),"--",IF(ISERROR(VLOOKUP(DPA_BDQRULE[[#This Row],[Data Processing Activity ID]],DATA_PROCESSING_ACTIVITY[],3,FALSE)),"Not found",VLOOKUP(DPA_BDQRULE[[#This Row],[Data Processing Activity ID]],DATA_PROCESSING_ACTIVITY[],3,FALSE)))</f>
        <v>--</v>
      </c>
      <c r="D9" s="39"/>
      <c r="E9" s="46" t="str">
        <f>IF(ISBLANK(DPA_BDQRULE[[#This Row],[Business Data Quality Rule ID]]),"-",IF(ISERROR(VLOOKUP(DPA_BDQRULE[[#This Row],[Business Data Quality Rule ID]],BUSINES_DQ_RULE[],2,FALSE)),"Not found",VLOOKUP(DPA_BDQRULE[[#This Row],[Business Data Quality Rule ID]],BUSINES_DQ_RULE[],2,FALSE)))</f>
        <v>-</v>
      </c>
      <c r="F9" s="74" t="str">
        <f>IF(ISBLANK(DPA_BDQRULE[[#This Row],[Business Data Quality Rule ID]]),"-",IF(ISERROR(VLOOKUP(DPA_BDQRULE[[#This Row],[Business Data Quality Rule ID]],BUSINES_DQ_RULE[],3,FALSE)),"Not found",VLOOKUP(DPA_BDQRULE[[#This Row],[Business Data Quality Rule ID]],BUSINES_DQ_RULE[],3,FALSE)))</f>
        <v>-</v>
      </c>
    </row>
    <row r="10" spans="1:6">
      <c r="A10" s="39"/>
      <c r="B10" s="46" t="str">
        <f>IF(ISBLANK(DPA_BDQRULE[[#This Row],[Data Processing Activity ID]]),"--",IF(ISERROR(VLOOKUP(DPA_BDQRULE[[#This Row],[Data Processing Activity ID]],DATA_PROCESSING_ACTIVITY[],2,FALSE)),"Not found",VLOOKUP(DPA_BDQRULE[[#This Row],[Data Processing Activity ID]],DATA_PROCESSING_ACTIVITY[],2,FALSE)))</f>
        <v>--</v>
      </c>
      <c r="C10" s="46" t="str">
        <f>IF(ISBLANK(DPA_BDQRULE[[#This Row],[Data Processing Activity ID]]),"--",IF(ISERROR(VLOOKUP(DPA_BDQRULE[[#This Row],[Data Processing Activity ID]],DATA_PROCESSING_ACTIVITY[],3,FALSE)),"Not found",VLOOKUP(DPA_BDQRULE[[#This Row],[Data Processing Activity ID]],DATA_PROCESSING_ACTIVITY[],3,FALSE)))</f>
        <v>--</v>
      </c>
      <c r="D10" s="39"/>
      <c r="E10" s="46" t="str">
        <f>IF(ISBLANK(DPA_BDQRULE[[#This Row],[Business Data Quality Rule ID]]),"-",IF(ISERROR(VLOOKUP(DPA_BDQRULE[[#This Row],[Business Data Quality Rule ID]],BUSINES_DQ_RULE[],2,FALSE)),"Not found",VLOOKUP(DPA_BDQRULE[[#This Row],[Business Data Quality Rule ID]],BUSINES_DQ_RULE[],2,FALSE)))</f>
        <v>-</v>
      </c>
      <c r="F10" s="74" t="str">
        <f>IF(ISBLANK(DPA_BDQRULE[[#This Row],[Business Data Quality Rule ID]]),"-",IF(ISERROR(VLOOKUP(DPA_BDQRULE[[#This Row],[Business Data Quality Rule ID]],BUSINES_DQ_RULE[],3,FALSE)),"Not found",VLOOKUP(DPA_BDQRULE[[#This Row],[Business Data Quality Rule ID]],BUSINES_DQ_RULE[],3,FALSE)))</f>
        <v>-</v>
      </c>
    </row>
  </sheetData>
  <sheetProtection sheet="1" objects="1" scenarios="1" formatRows="0" sort="0" autoFilter="0"/>
  <dataValidations count="4">
    <dataValidation type="list" errorStyle="information" allowBlank="1" showInputMessage="1" showErrorMessage="1" errorTitle="Entry not allowed" error="Please select an existing business DQ rule id." sqref="D4:D10" xr:uid="{00000000-0002-0000-1A00-000001000000}">
      <formula1>INDIRECT("BUSINES_DQ_RULE[ID]")</formula1>
    </dataValidation>
    <dataValidation type="list" errorStyle="information" allowBlank="1" showInputMessage="1" showErrorMessage="1" errorTitle="Entry not allowed" sqref="A4:A10" xr:uid="{00000000-0002-0000-1A00-000000000000}">
      <formula1>INDIRECT("DATA_PROCESSING_ACTIVITY[ID]")</formula1>
    </dataValidation>
    <dataValidation errorStyle="information" allowBlank="1" showInputMessage="1" showErrorMessage="1" errorTitle="Entry not allowed" sqref="B4:C10" xr:uid="{05725D71-6E24-428D-8ACE-38A7D7DE8C70}"/>
    <dataValidation errorStyle="information" allowBlank="1" showInputMessage="1" showErrorMessage="1" errorTitle="Entry not allowed" error="Please select an existing business DQ rule id." sqref="E4:F10" xr:uid="{D11AD859-B77D-4431-A73D-969301E81792}"/>
  </dataValidations>
  <pageMargins left="0.7" right="0.7" top="0.75" bottom="0.75" header="0.3" footer="0.3"/>
  <pageSetup paperSize="9" orientation="portrait" r:id="rId1"/>
  <drawing r:id="rId2"/>
  <tableParts count="1">
    <tablePart r:id="rId3"/>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860AD4-A36E-47CC-A5F5-7E6319C159FA}">
  <sheetPr codeName="Feuil25"/>
  <dimension ref="A1:F20"/>
  <sheetViews>
    <sheetView workbookViewId="0">
      <selection activeCell="B7" sqref="B7"/>
    </sheetView>
  </sheetViews>
  <sheetFormatPr baseColWidth="10" defaultRowHeight="15"/>
  <cols>
    <col min="1" max="1" width="26.42578125" customWidth="1"/>
    <col min="2" max="2" width="36.140625" customWidth="1"/>
    <col min="3" max="3" width="41" customWidth="1"/>
    <col min="4" max="4" width="30.140625" customWidth="1"/>
    <col min="5" max="6" width="26" customWidth="1"/>
  </cols>
  <sheetData>
    <row r="1" spans="1:6">
      <c r="A1" s="1"/>
      <c r="B1" s="43" t="s">
        <v>820</v>
      </c>
      <c r="C1" s="43" t="s">
        <v>820</v>
      </c>
      <c r="D1" s="1"/>
      <c r="E1" s="43" t="s">
        <v>820</v>
      </c>
      <c r="F1" s="43" t="s">
        <v>820</v>
      </c>
    </row>
    <row r="2" spans="1:6">
      <c r="A2" s="1"/>
      <c r="B2" s="1"/>
      <c r="C2" s="1"/>
      <c r="D2" s="1"/>
      <c r="E2" s="1"/>
      <c r="F2" s="1"/>
    </row>
    <row r="3" spans="1:6">
      <c r="A3" s="39" t="s">
        <v>801</v>
      </c>
      <c r="B3" s="39" t="s">
        <v>8738</v>
      </c>
      <c r="C3" s="39" t="s">
        <v>8739</v>
      </c>
      <c r="D3" s="39" t="s">
        <v>790</v>
      </c>
      <c r="E3" s="39" t="s">
        <v>8729</v>
      </c>
      <c r="F3" s="39" t="s">
        <v>8730</v>
      </c>
    </row>
    <row r="4" spans="1:6" ht="23.25">
      <c r="A4" s="39" t="s">
        <v>856</v>
      </c>
      <c r="B4" s="46" t="str">
        <f>IF(ISBLANK(BDQRULE_DELT[[#This Row],[Business Data Quality Rule ID]]),"-",IF(ISERROR(VLOOKUP(BDQRULE_DELT[[#This Row],[Business Data Quality Rule ID]],BUSINES_DQ_RULE[],2,FALSE)),"Not found",VLOOKUP(BDQRULE_DELT[[#This Row],[Business Data Quality Rule ID]],BUSINES_DQ_RULE[],2,FALSE)))</f>
        <v>CA001</v>
      </c>
      <c r="C4" s="74" t="str">
        <f>IF(ISBLANK(BDQRULE_DELT[[#This Row],[Business Data Quality Rule ID]]),"-",IF(ISERROR(VLOOKUP(BDQRULE_DELT[[#This Row],[Business Data Quality Rule ID]],BUSINES_DQ_RULE[],3,FALSE)),"Not found",VLOOKUP(BDQRULE_DELT[[#This Row],[Business Data Quality Rule ID]],BUSINES_DQ_RULE[],3,FALSE)))</f>
        <v>Completeness of address information of the place of the event causing vehicle repair or vehicle towing cases</v>
      </c>
      <c r="D4" s="39" t="s">
        <v>8744</v>
      </c>
      <c r="E4" s="46" t="str">
        <f>IF(ISBLANK(BDQRULE_DELT[[#This Row],[Data Element ID]]),"-",IF(ISERROR(VLOOKUP(BDQRULE_DELT[[#This Row],[Data Element ID]],DATA_ELEMENT[],2,FALSE)),"Not found",VLOOKUP(BDQRULE_DELT[[#This Row],[Data Element ID]],DATA_ELEMENT[],2,FALSE)))</f>
        <v>PostalMunicipality</v>
      </c>
      <c r="F4" s="46" t="str">
        <f>IF(ISBLANK(BDQRULE_DELT[[#This Row],[Data Element ID]]),"-",IF(ISERROR(VLOOKUP(BDQRULE_DELT[[#This Row],[Data Element ID]],DATA_ELEMENT[],3,FALSE)),"Not found",VLOOKUP(BDQRULE_DELT[[#This Row],[Data Element ID]],DATA_ELEMENT[],3,FALSE)))</f>
        <v>Postal Address  Postal Municipality</v>
      </c>
    </row>
    <row r="5" spans="1:6" ht="23.25">
      <c r="A5" s="39" t="s">
        <v>856</v>
      </c>
      <c r="B5" s="46" t="str">
        <f>IF(ISBLANK(BDQRULE_DELT[[#This Row],[Business Data Quality Rule ID]]),"-",IF(ISERROR(VLOOKUP(BDQRULE_DELT[[#This Row],[Business Data Quality Rule ID]],BUSINES_DQ_RULE[],2,FALSE)),"Not found",VLOOKUP(BDQRULE_DELT[[#This Row],[Business Data Quality Rule ID]],BUSINES_DQ_RULE[],2,FALSE)))</f>
        <v>CA001</v>
      </c>
      <c r="C5" s="74" t="str">
        <f>IF(ISBLANK(BDQRULE_DELT[[#This Row],[Business Data Quality Rule ID]]),"-",IF(ISERROR(VLOOKUP(BDQRULE_DELT[[#This Row],[Business Data Quality Rule ID]],BUSINES_DQ_RULE[],3,FALSE)),"Not found",VLOOKUP(BDQRULE_DELT[[#This Row],[Business Data Quality Rule ID]],BUSINES_DQ_RULE[],3,FALSE)))</f>
        <v>Completeness of address information of the place of the event causing vehicle repair or vehicle towing cases</v>
      </c>
      <c r="D5" s="39" t="s">
        <v>8745</v>
      </c>
      <c r="E5" s="46" t="str">
        <f>IF(ISBLANK(BDQRULE_DELT[[#This Row],[Data Element ID]]),"-",IF(ISERROR(VLOOKUP(BDQRULE_DELT[[#This Row],[Data Element ID]],DATA_ELEMENT[],2,FALSE)),"Not found",VLOOKUP(BDQRULE_DELT[[#This Row],[Data Element ID]],DATA_ELEMENT[],2,FALSE)))</f>
        <v xml:space="preserve"> PostalPostCode</v>
      </c>
      <c r="F5" s="46" t="str">
        <f>IF(ISBLANK(BDQRULE_DELT[[#This Row],[Data Element ID]]),"-",IF(ISERROR(VLOOKUP(BDQRULE_DELT[[#This Row],[Data Element ID]],DATA_ELEMENT[],3,FALSE)),"Not found",VLOOKUP(BDQRULE_DELT[[#This Row],[Data Element ID]],DATA_ELEMENT[],3,FALSE)))</f>
        <v>Postal Address  Postal Post Code</v>
      </c>
    </row>
    <row r="6" spans="1:6" ht="23.25">
      <c r="A6" s="39" t="s">
        <v>856</v>
      </c>
      <c r="B6" s="46" t="str">
        <f>IF(ISBLANK(BDQRULE_DELT[[#This Row],[Business Data Quality Rule ID]]),"-",IF(ISERROR(VLOOKUP(BDQRULE_DELT[[#This Row],[Business Data Quality Rule ID]],BUSINES_DQ_RULE[],2,FALSE)),"Not found",VLOOKUP(BDQRULE_DELT[[#This Row],[Business Data Quality Rule ID]],BUSINES_DQ_RULE[],2,FALSE)))</f>
        <v>CA001</v>
      </c>
      <c r="C6" s="74" t="str">
        <f>IF(ISBLANK(BDQRULE_DELT[[#This Row],[Business Data Quality Rule ID]]),"-",IF(ISERROR(VLOOKUP(BDQRULE_DELT[[#This Row],[Business Data Quality Rule ID]],BUSINES_DQ_RULE[],3,FALSE)),"Not found",VLOOKUP(BDQRULE_DELT[[#This Row],[Business Data Quality Rule ID]],BUSINES_DQ_RULE[],3,FALSE)))</f>
        <v>Completeness of address information of the place of the event causing vehicle repair or vehicle towing cases</v>
      </c>
      <c r="D6" s="39" t="s">
        <v>8746</v>
      </c>
      <c r="E6" s="46" t="str">
        <f>IF(ISBLANK(BDQRULE_DELT[[#This Row],[Data Element ID]]),"-",IF(ISERROR(VLOOKUP(BDQRULE_DELT[[#This Row],[Data Element ID]],DATA_ELEMENT[],2,FALSE)),"Not found",VLOOKUP(BDQRULE_DELT[[#This Row],[Data Element ID]],DATA_ELEMENT[],2,FALSE)))</f>
        <v>PostalCountry</v>
      </c>
      <c r="F6" s="46" t="str">
        <f>IF(ISBLANK(BDQRULE_DELT[[#This Row],[Data Element ID]]),"-",IF(ISERROR(VLOOKUP(BDQRULE_DELT[[#This Row],[Data Element ID]],DATA_ELEMENT[],3,FALSE)),"Not found",VLOOKUP(BDQRULE_DELT[[#This Row],[Data Element ID]],DATA_ELEMENT[],3,FALSE)))</f>
        <v>Postal Address  Postal Country</v>
      </c>
    </row>
    <row r="7" spans="1:6">
      <c r="A7" s="39" t="s">
        <v>8778</v>
      </c>
      <c r="B7" s="46" t="str">
        <f>IF(ISBLANK(BDQRULE_DELT[[#This Row],[Business Data Quality Rule ID]]),"-",IF(ISERROR(VLOOKUP(BDQRULE_DELT[[#This Row],[Business Data Quality Rule ID]],BUSINES_DQ_RULE[],2,FALSE)),"Not found",VLOOKUP(BDQRULE_DELT[[#This Row],[Business Data Quality Rule ID]],BUSINES_DQ_RULE[],2,FALSE)))</f>
        <v>CA004</v>
      </c>
      <c r="C7" s="74" t="str">
        <f>IF(ISBLANK(BDQRULE_DELT[[#This Row],[Business Data Quality Rule ID]]),"-",IF(ISERROR(VLOOKUP(BDQRULE_DELT[[#This Row],[Business Data Quality Rule ID]],BUSINES_DQ_RULE[],3,FALSE)),"Not found",VLOOKUP(BDQRULE_DELT[[#This Row],[Business Data Quality Rule ID]],BUSINES_DQ_RULE[],3,FALSE)))</f>
        <v>Contract expiration rule</v>
      </c>
      <c r="D7" s="39" t="s">
        <v>835</v>
      </c>
      <c r="E7" s="46" t="str">
        <f>IF(ISBLANK(BDQRULE_DELT[[#This Row],[Data Element ID]]),"-",IF(ISERROR(VLOOKUP(BDQRULE_DELT[[#This Row],[Data Element ID]],DATA_ELEMENT[],2,FALSE)),"Not found",VLOOKUP(BDQRULE_DELT[[#This Row],[Data Element ID]],DATA_ELEMENT[],2,FALSE)))</f>
        <v>EffectiveStartDate</v>
      </c>
      <c r="F7" s="46" t="str">
        <f>IF(ISBLANK(BDQRULE_DELT[[#This Row],[Data Element ID]]),"-",IF(ISERROR(VLOOKUP(BDQRULE_DELT[[#This Row],[Data Element ID]],DATA_ELEMENT[],3,FALSE)),"Not found",VLOOKUP(BDQRULE_DELT[[#This Row],[Data Element ID]],DATA_ELEMENT[],3,FALSE)))</f>
        <v>Effective Start Date</v>
      </c>
    </row>
    <row r="8" spans="1:6">
      <c r="A8" s="39" t="s">
        <v>8778</v>
      </c>
      <c r="B8" s="46" t="str">
        <f>IF(ISBLANK(BDQRULE_DELT[[#This Row],[Business Data Quality Rule ID]]),"-",IF(ISERROR(VLOOKUP(BDQRULE_DELT[[#This Row],[Business Data Quality Rule ID]],BUSINES_DQ_RULE[],2,FALSE)),"Not found",VLOOKUP(BDQRULE_DELT[[#This Row],[Business Data Quality Rule ID]],BUSINES_DQ_RULE[],2,FALSE)))</f>
        <v>CA004</v>
      </c>
      <c r="C8" s="74" t="str">
        <f>IF(ISBLANK(BDQRULE_DELT[[#This Row],[Business Data Quality Rule ID]]),"-",IF(ISERROR(VLOOKUP(BDQRULE_DELT[[#This Row],[Business Data Quality Rule ID]],BUSINES_DQ_RULE[],3,FALSE)),"Not found",VLOOKUP(BDQRULE_DELT[[#This Row],[Business Data Quality Rule ID]],BUSINES_DQ_RULE[],3,FALSE)))</f>
        <v>Contract expiration rule</v>
      </c>
      <c r="D8" s="39" t="s">
        <v>837</v>
      </c>
      <c r="E8" s="46" t="str">
        <f>IF(ISBLANK(BDQRULE_DELT[[#This Row],[Data Element ID]]),"-",IF(ISERROR(VLOOKUP(BDQRULE_DELT[[#This Row],[Data Element ID]],DATA_ELEMENT[],2,FALSE)),"Not found",VLOOKUP(BDQRULE_DELT[[#This Row],[Data Element ID]],DATA_ELEMENT[],2,FALSE)))</f>
        <v>ExpirationDate</v>
      </c>
      <c r="F8" s="46" t="str">
        <f>IF(ISBLANK(BDQRULE_DELT[[#This Row],[Data Element ID]]),"-",IF(ISERROR(VLOOKUP(BDQRULE_DELT[[#This Row],[Data Element ID]],DATA_ELEMENT[],3,FALSE)),"Not found",VLOOKUP(BDQRULE_DELT[[#This Row],[Data Element ID]],DATA_ELEMENT[],3,FALSE)))</f>
        <v>Expiration Date</v>
      </c>
    </row>
    <row r="9" spans="1:6">
      <c r="A9" s="39"/>
      <c r="B9" s="46" t="str">
        <f>IF(ISBLANK(BDQRULE_DELT[[#This Row],[Business Data Quality Rule ID]]),"-",IF(ISERROR(VLOOKUP(BDQRULE_DELT[[#This Row],[Business Data Quality Rule ID]],BUSINES_DQ_RULE[],2,FALSE)),"Not found",VLOOKUP(BDQRULE_DELT[[#This Row],[Business Data Quality Rule ID]],BUSINES_DQ_RULE[],2,FALSE)))</f>
        <v>-</v>
      </c>
      <c r="C9" s="74" t="str">
        <f>IF(ISBLANK(BDQRULE_DELT[[#This Row],[Business Data Quality Rule ID]]),"-",IF(ISERROR(VLOOKUP(BDQRULE_DELT[[#This Row],[Business Data Quality Rule ID]],BUSINES_DQ_RULE[],3,FALSE)),"Not found",VLOOKUP(BDQRULE_DELT[[#This Row],[Business Data Quality Rule ID]],BUSINES_DQ_RULE[],3,FALSE)))</f>
        <v>-</v>
      </c>
      <c r="D9" s="39"/>
      <c r="E9" s="46" t="str">
        <f>IF(ISBLANK(BDQRULE_DELT[[#This Row],[Data Element ID]]),"-",IF(ISERROR(VLOOKUP(BDQRULE_DELT[[#This Row],[Data Element ID]],DATA_ELEMENT[],2,FALSE)),"Not found",VLOOKUP(BDQRULE_DELT[[#This Row],[Data Element ID]],DATA_ELEMENT[],2,FALSE)))</f>
        <v>-</v>
      </c>
      <c r="F9" s="46" t="str">
        <f>IF(ISBLANK(BDQRULE_DELT[[#This Row],[Data Element ID]]),"-",IF(ISERROR(VLOOKUP(BDQRULE_DELT[[#This Row],[Data Element ID]],DATA_ELEMENT[],3,FALSE)),"Not found",VLOOKUP(BDQRULE_DELT[[#This Row],[Data Element ID]],DATA_ELEMENT[],3,FALSE)))</f>
        <v>-</v>
      </c>
    </row>
    <row r="10" spans="1:6">
      <c r="A10" s="39"/>
      <c r="B10" s="46" t="str">
        <f>IF(ISBLANK(BDQRULE_DELT[[#This Row],[Business Data Quality Rule ID]]),"-",IF(ISERROR(VLOOKUP(BDQRULE_DELT[[#This Row],[Business Data Quality Rule ID]],BUSINES_DQ_RULE[],2,FALSE)),"Not found",VLOOKUP(BDQRULE_DELT[[#This Row],[Business Data Quality Rule ID]],BUSINES_DQ_RULE[],2,FALSE)))</f>
        <v>-</v>
      </c>
      <c r="C10" s="74" t="str">
        <f>IF(ISBLANK(BDQRULE_DELT[[#This Row],[Business Data Quality Rule ID]]),"-",IF(ISERROR(VLOOKUP(BDQRULE_DELT[[#This Row],[Business Data Quality Rule ID]],BUSINES_DQ_RULE[],3,FALSE)),"Not found",VLOOKUP(BDQRULE_DELT[[#This Row],[Business Data Quality Rule ID]],BUSINES_DQ_RULE[],3,FALSE)))</f>
        <v>-</v>
      </c>
      <c r="D10" s="39"/>
      <c r="E10" s="46" t="str">
        <f>IF(ISBLANK(BDQRULE_DELT[[#This Row],[Data Element ID]]),"-",IF(ISERROR(VLOOKUP(BDQRULE_DELT[[#This Row],[Data Element ID]],DATA_ELEMENT[],2,FALSE)),"Not found",VLOOKUP(BDQRULE_DELT[[#This Row],[Data Element ID]],DATA_ELEMENT[],2,FALSE)))</f>
        <v>-</v>
      </c>
      <c r="F10" s="46" t="str">
        <f>IF(ISBLANK(BDQRULE_DELT[[#This Row],[Data Element ID]]),"-",IF(ISERROR(VLOOKUP(BDQRULE_DELT[[#This Row],[Data Element ID]],DATA_ELEMENT[],3,FALSE)),"Not found",VLOOKUP(BDQRULE_DELT[[#This Row],[Data Element ID]],DATA_ELEMENT[],3,FALSE)))</f>
        <v>-</v>
      </c>
    </row>
    <row r="11" spans="1:6">
      <c r="A11" s="39"/>
      <c r="B11" s="46" t="str">
        <f>IF(ISBLANK(BDQRULE_DELT[[#This Row],[Business Data Quality Rule ID]]),"-",IF(ISERROR(VLOOKUP(BDQRULE_DELT[[#This Row],[Business Data Quality Rule ID]],BUSINES_DQ_RULE[],2,FALSE)),"Not found",VLOOKUP(BDQRULE_DELT[[#This Row],[Business Data Quality Rule ID]],BUSINES_DQ_RULE[],2,FALSE)))</f>
        <v>-</v>
      </c>
      <c r="C11" s="74" t="str">
        <f>IF(ISBLANK(BDQRULE_DELT[[#This Row],[Business Data Quality Rule ID]]),"-",IF(ISERROR(VLOOKUP(BDQRULE_DELT[[#This Row],[Business Data Quality Rule ID]],BUSINES_DQ_RULE[],3,FALSE)),"Not found",VLOOKUP(BDQRULE_DELT[[#This Row],[Business Data Quality Rule ID]],BUSINES_DQ_RULE[],3,FALSE)))</f>
        <v>-</v>
      </c>
      <c r="D11" s="39"/>
      <c r="E11" s="46" t="str">
        <f>IF(ISBLANK(BDQRULE_DELT[[#This Row],[Data Element ID]]),"-",IF(ISERROR(VLOOKUP(BDQRULE_DELT[[#This Row],[Data Element ID]],DATA_ELEMENT[],2,FALSE)),"Not found",VLOOKUP(BDQRULE_DELT[[#This Row],[Data Element ID]],DATA_ELEMENT[],2,FALSE)))</f>
        <v>-</v>
      </c>
      <c r="F11" s="46" t="str">
        <f>IF(ISBLANK(BDQRULE_DELT[[#This Row],[Data Element ID]]),"-",IF(ISERROR(VLOOKUP(BDQRULE_DELT[[#This Row],[Data Element ID]],DATA_ELEMENT[],3,FALSE)),"Not found",VLOOKUP(BDQRULE_DELT[[#This Row],[Data Element ID]],DATA_ELEMENT[],3,FALSE)))</f>
        <v>-</v>
      </c>
    </row>
    <row r="12" spans="1:6">
      <c r="A12" s="39"/>
      <c r="B12" s="46" t="str">
        <f>IF(ISBLANK(BDQRULE_DELT[[#This Row],[Business Data Quality Rule ID]]),"-",IF(ISERROR(VLOOKUP(BDQRULE_DELT[[#This Row],[Business Data Quality Rule ID]],BUSINES_DQ_RULE[],2,FALSE)),"Not found",VLOOKUP(BDQRULE_DELT[[#This Row],[Business Data Quality Rule ID]],BUSINES_DQ_RULE[],2,FALSE)))</f>
        <v>-</v>
      </c>
      <c r="C12" s="74" t="str">
        <f>IF(ISBLANK(BDQRULE_DELT[[#This Row],[Business Data Quality Rule ID]]),"-",IF(ISERROR(VLOOKUP(BDQRULE_DELT[[#This Row],[Business Data Quality Rule ID]],BUSINES_DQ_RULE[],3,FALSE)),"Not found",VLOOKUP(BDQRULE_DELT[[#This Row],[Business Data Quality Rule ID]],BUSINES_DQ_RULE[],3,FALSE)))</f>
        <v>-</v>
      </c>
      <c r="D12" s="39"/>
      <c r="E12" s="46" t="str">
        <f>IF(ISBLANK(BDQRULE_DELT[[#This Row],[Data Element ID]]),"-",IF(ISERROR(VLOOKUP(BDQRULE_DELT[[#This Row],[Data Element ID]],DATA_ELEMENT[],2,FALSE)),"Not found",VLOOKUP(BDQRULE_DELT[[#This Row],[Data Element ID]],DATA_ELEMENT[],2,FALSE)))</f>
        <v>-</v>
      </c>
      <c r="F12" s="46" t="str">
        <f>IF(ISBLANK(BDQRULE_DELT[[#This Row],[Data Element ID]]),"-",IF(ISERROR(VLOOKUP(BDQRULE_DELT[[#This Row],[Data Element ID]],DATA_ELEMENT[],3,FALSE)),"Not found",VLOOKUP(BDQRULE_DELT[[#This Row],[Data Element ID]],DATA_ELEMENT[],3,FALSE)))</f>
        <v>-</v>
      </c>
    </row>
    <row r="13" spans="1:6">
      <c r="A13" s="39"/>
      <c r="B13" s="46" t="str">
        <f>IF(ISBLANK(BDQRULE_DELT[[#This Row],[Business Data Quality Rule ID]]),"-",IF(ISERROR(VLOOKUP(BDQRULE_DELT[[#This Row],[Business Data Quality Rule ID]],BUSINES_DQ_RULE[],2,FALSE)),"Not found",VLOOKUP(BDQRULE_DELT[[#This Row],[Business Data Quality Rule ID]],BUSINES_DQ_RULE[],2,FALSE)))</f>
        <v>-</v>
      </c>
      <c r="C13" s="74" t="str">
        <f>IF(ISBLANK(BDQRULE_DELT[[#This Row],[Business Data Quality Rule ID]]),"-",IF(ISERROR(VLOOKUP(BDQRULE_DELT[[#This Row],[Business Data Quality Rule ID]],BUSINES_DQ_RULE[],3,FALSE)),"Not found",VLOOKUP(BDQRULE_DELT[[#This Row],[Business Data Quality Rule ID]],BUSINES_DQ_RULE[],3,FALSE)))</f>
        <v>-</v>
      </c>
      <c r="D13" s="39"/>
      <c r="E13" s="46" t="str">
        <f>IF(ISBLANK(BDQRULE_DELT[[#This Row],[Data Element ID]]),"-",IF(ISERROR(VLOOKUP(BDQRULE_DELT[[#This Row],[Data Element ID]],DATA_ELEMENT[],2,FALSE)),"Not found",VLOOKUP(BDQRULE_DELT[[#This Row],[Data Element ID]],DATA_ELEMENT[],2,FALSE)))</f>
        <v>-</v>
      </c>
      <c r="F13" s="46" t="str">
        <f>IF(ISBLANK(BDQRULE_DELT[[#This Row],[Data Element ID]]),"-",IF(ISERROR(VLOOKUP(BDQRULE_DELT[[#This Row],[Data Element ID]],DATA_ELEMENT[],3,FALSE)),"Not found",VLOOKUP(BDQRULE_DELT[[#This Row],[Data Element ID]],DATA_ELEMENT[],3,FALSE)))</f>
        <v>-</v>
      </c>
    </row>
    <row r="14" spans="1:6">
      <c r="A14" s="39"/>
      <c r="B14" s="46" t="str">
        <f>IF(ISBLANK(BDQRULE_DELT[[#This Row],[Business Data Quality Rule ID]]),"-",IF(ISERROR(VLOOKUP(BDQRULE_DELT[[#This Row],[Business Data Quality Rule ID]],BUSINES_DQ_RULE[],2,FALSE)),"Not found",VLOOKUP(BDQRULE_DELT[[#This Row],[Business Data Quality Rule ID]],BUSINES_DQ_RULE[],2,FALSE)))</f>
        <v>-</v>
      </c>
      <c r="C14" s="74" t="str">
        <f>IF(ISBLANK(BDQRULE_DELT[[#This Row],[Business Data Quality Rule ID]]),"-",IF(ISERROR(VLOOKUP(BDQRULE_DELT[[#This Row],[Business Data Quality Rule ID]],BUSINES_DQ_RULE[],3,FALSE)),"Not found",VLOOKUP(BDQRULE_DELT[[#This Row],[Business Data Quality Rule ID]],BUSINES_DQ_RULE[],3,FALSE)))</f>
        <v>-</v>
      </c>
      <c r="D14" s="39"/>
      <c r="E14" s="46" t="str">
        <f>IF(ISBLANK(BDQRULE_DELT[[#This Row],[Data Element ID]]),"-",IF(ISERROR(VLOOKUP(BDQRULE_DELT[[#This Row],[Data Element ID]],DATA_ELEMENT[],2,FALSE)),"Not found",VLOOKUP(BDQRULE_DELT[[#This Row],[Data Element ID]],DATA_ELEMENT[],2,FALSE)))</f>
        <v>-</v>
      </c>
      <c r="F14" s="46" t="str">
        <f>IF(ISBLANK(BDQRULE_DELT[[#This Row],[Data Element ID]]),"-",IF(ISERROR(VLOOKUP(BDQRULE_DELT[[#This Row],[Data Element ID]],DATA_ELEMENT[],3,FALSE)),"Not found",VLOOKUP(BDQRULE_DELT[[#This Row],[Data Element ID]],DATA_ELEMENT[],3,FALSE)))</f>
        <v>-</v>
      </c>
    </row>
    <row r="15" spans="1:6">
      <c r="A15" s="39"/>
      <c r="B15" s="46" t="str">
        <f>IF(ISBLANK(BDQRULE_DELT[[#This Row],[Business Data Quality Rule ID]]),"-",IF(ISERROR(VLOOKUP(BDQRULE_DELT[[#This Row],[Business Data Quality Rule ID]],BUSINES_DQ_RULE[],2,FALSE)),"Not found",VLOOKUP(BDQRULE_DELT[[#This Row],[Business Data Quality Rule ID]],BUSINES_DQ_RULE[],2,FALSE)))</f>
        <v>-</v>
      </c>
      <c r="C15" s="74" t="str">
        <f>IF(ISBLANK(BDQRULE_DELT[[#This Row],[Business Data Quality Rule ID]]),"-",IF(ISERROR(VLOOKUP(BDQRULE_DELT[[#This Row],[Business Data Quality Rule ID]],BUSINES_DQ_RULE[],3,FALSE)),"Not found",VLOOKUP(BDQRULE_DELT[[#This Row],[Business Data Quality Rule ID]],BUSINES_DQ_RULE[],3,FALSE)))</f>
        <v>-</v>
      </c>
      <c r="D15" s="39"/>
      <c r="E15" s="46" t="str">
        <f>IF(ISBLANK(BDQRULE_DELT[[#This Row],[Data Element ID]]),"-",IF(ISERROR(VLOOKUP(BDQRULE_DELT[[#This Row],[Data Element ID]],DATA_ELEMENT[],2,FALSE)),"Not found",VLOOKUP(BDQRULE_DELT[[#This Row],[Data Element ID]],DATA_ELEMENT[],2,FALSE)))</f>
        <v>-</v>
      </c>
      <c r="F15" s="46" t="str">
        <f>IF(ISBLANK(BDQRULE_DELT[[#This Row],[Data Element ID]]),"-",IF(ISERROR(VLOOKUP(BDQRULE_DELT[[#This Row],[Data Element ID]],DATA_ELEMENT[],3,FALSE)),"Not found",VLOOKUP(BDQRULE_DELT[[#This Row],[Data Element ID]],DATA_ELEMENT[],3,FALSE)))</f>
        <v>-</v>
      </c>
    </row>
    <row r="16" spans="1:6">
      <c r="A16" s="39"/>
      <c r="B16" s="46" t="str">
        <f>IF(ISBLANK(BDQRULE_DELT[[#This Row],[Business Data Quality Rule ID]]),"-",IF(ISERROR(VLOOKUP(BDQRULE_DELT[[#This Row],[Business Data Quality Rule ID]],BUSINES_DQ_RULE[],2,FALSE)),"Not found",VLOOKUP(BDQRULE_DELT[[#This Row],[Business Data Quality Rule ID]],BUSINES_DQ_RULE[],2,FALSE)))</f>
        <v>-</v>
      </c>
      <c r="C16" s="74" t="str">
        <f>IF(ISBLANK(BDQRULE_DELT[[#This Row],[Business Data Quality Rule ID]]),"-",IF(ISERROR(VLOOKUP(BDQRULE_DELT[[#This Row],[Business Data Quality Rule ID]],BUSINES_DQ_RULE[],3,FALSE)),"Not found",VLOOKUP(BDQRULE_DELT[[#This Row],[Business Data Quality Rule ID]],BUSINES_DQ_RULE[],3,FALSE)))</f>
        <v>-</v>
      </c>
      <c r="D16" s="39"/>
      <c r="E16" s="46" t="str">
        <f>IF(ISBLANK(BDQRULE_DELT[[#This Row],[Data Element ID]]),"-",IF(ISERROR(VLOOKUP(BDQRULE_DELT[[#This Row],[Data Element ID]],DATA_ELEMENT[],2,FALSE)),"Not found",VLOOKUP(BDQRULE_DELT[[#This Row],[Data Element ID]],DATA_ELEMENT[],2,FALSE)))</f>
        <v>-</v>
      </c>
      <c r="F16" s="46" t="str">
        <f>IF(ISBLANK(BDQRULE_DELT[[#This Row],[Data Element ID]]),"-",IF(ISERROR(VLOOKUP(BDQRULE_DELT[[#This Row],[Data Element ID]],DATA_ELEMENT[],3,FALSE)),"Not found",VLOOKUP(BDQRULE_DELT[[#This Row],[Data Element ID]],DATA_ELEMENT[],3,FALSE)))</f>
        <v>-</v>
      </c>
    </row>
    <row r="17" spans="1:6">
      <c r="A17" s="39"/>
      <c r="B17" s="46" t="str">
        <f>IF(ISBLANK(BDQRULE_DELT[[#This Row],[Business Data Quality Rule ID]]),"-",IF(ISERROR(VLOOKUP(BDQRULE_DELT[[#This Row],[Business Data Quality Rule ID]],BUSINES_DQ_RULE[],2,FALSE)),"Not found",VLOOKUP(BDQRULE_DELT[[#This Row],[Business Data Quality Rule ID]],BUSINES_DQ_RULE[],2,FALSE)))</f>
        <v>-</v>
      </c>
      <c r="C17" s="74" t="str">
        <f>IF(ISBLANK(BDQRULE_DELT[[#This Row],[Business Data Quality Rule ID]]),"-",IF(ISERROR(VLOOKUP(BDQRULE_DELT[[#This Row],[Business Data Quality Rule ID]],BUSINES_DQ_RULE[],3,FALSE)),"Not found",VLOOKUP(BDQRULE_DELT[[#This Row],[Business Data Quality Rule ID]],BUSINES_DQ_RULE[],3,FALSE)))</f>
        <v>-</v>
      </c>
      <c r="D17" s="39"/>
      <c r="E17" s="46" t="str">
        <f>IF(ISBLANK(BDQRULE_DELT[[#This Row],[Data Element ID]]),"-",IF(ISERROR(VLOOKUP(BDQRULE_DELT[[#This Row],[Data Element ID]],DATA_ELEMENT[],2,FALSE)),"Not found",VLOOKUP(BDQRULE_DELT[[#This Row],[Data Element ID]],DATA_ELEMENT[],2,FALSE)))</f>
        <v>-</v>
      </c>
      <c r="F17" s="46" t="str">
        <f>IF(ISBLANK(BDQRULE_DELT[[#This Row],[Data Element ID]]),"-",IF(ISERROR(VLOOKUP(BDQRULE_DELT[[#This Row],[Data Element ID]],DATA_ELEMENT[],3,FALSE)),"Not found",VLOOKUP(BDQRULE_DELT[[#This Row],[Data Element ID]],DATA_ELEMENT[],3,FALSE)))</f>
        <v>-</v>
      </c>
    </row>
    <row r="18" spans="1:6">
      <c r="A18" s="39"/>
      <c r="B18" s="46" t="str">
        <f>IF(ISBLANK(BDQRULE_DELT[[#This Row],[Business Data Quality Rule ID]]),"-",IF(ISERROR(VLOOKUP(BDQRULE_DELT[[#This Row],[Business Data Quality Rule ID]],BUSINES_DQ_RULE[],2,FALSE)),"Not found",VLOOKUP(BDQRULE_DELT[[#This Row],[Business Data Quality Rule ID]],BUSINES_DQ_RULE[],2,FALSE)))</f>
        <v>-</v>
      </c>
      <c r="C18" s="74" t="str">
        <f>IF(ISBLANK(BDQRULE_DELT[[#This Row],[Business Data Quality Rule ID]]),"-",IF(ISERROR(VLOOKUP(BDQRULE_DELT[[#This Row],[Business Data Quality Rule ID]],BUSINES_DQ_RULE[],3,FALSE)),"Not found",VLOOKUP(BDQRULE_DELT[[#This Row],[Business Data Quality Rule ID]],BUSINES_DQ_RULE[],3,FALSE)))</f>
        <v>-</v>
      </c>
      <c r="D18" s="39"/>
      <c r="E18" s="46" t="str">
        <f>IF(ISBLANK(BDQRULE_DELT[[#This Row],[Data Element ID]]),"-",IF(ISERROR(VLOOKUP(BDQRULE_DELT[[#This Row],[Data Element ID]],DATA_ELEMENT[],2,FALSE)),"Not found",VLOOKUP(BDQRULE_DELT[[#This Row],[Data Element ID]],DATA_ELEMENT[],2,FALSE)))</f>
        <v>-</v>
      </c>
      <c r="F18" s="46" t="str">
        <f>IF(ISBLANK(BDQRULE_DELT[[#This Row],[Data Element ID]]),"-",IF(ISERROR(VLOOKUP(BDQRULE_DELT[[#This Row],[Data Element ID]],DATA_ELEMENT[],3,FALSE)),"Not found",VLOOKUP(BDQRULE_DELT[[#This Row],[Data Element ID]],DATA_ELEMENT[],3,FALSE)))</f>
        <v>-</v>
      </c>
    </row>
    <row r="19" spans="1:6">
      <c r="A19" s="39"/>
      <c r="B19" s="46" t="str">
        <f>IF(ISBLANK(BDQRULE_DELT[[#This Row],[Business Data Quality Rule ID]]),"-",IF(ISERROR(VLOOKUP(BDQRULE_DELT[[#This Row],[Business Data Quality Rule ID]],BUSINES_DQ_RULE[],2,FALSE)),"Not found",VLOOKUP(BDQRULE_DELT[[#This Row],[Business Data Quality Rule ID]],BUSINES_DQ_RULE[],2,FALSE)))</f>
        <v>-</v>
      </c>
      <c r="C19" s="74" t="str">
        <f>IF(ISBLANK(BDQRULE_DELT[[#This Row],[Business Data Quality Rule ID]]),"-",IF(ISERROR(VLOOKUP(BDQRULE_DELT[[#This Row],[Business Data Quality Rule ID]],BUSINES_DQ_RULE[],3,FALSE)),"Not found",VLOOKUP(BDQRULE_DELT[[#This Row],[Business Data Quality Rule ID]],BUSINES_DQ_RULE[],3,FALSE)))</f>
        <v>-</v>
      </c>
      <c r="D19" s="39"/>
      <c r="E19" s="46" t="str">
        <f>IF(ISBLANK(BDQRULE_DELT[[#This Row],[Data Element ID]]),"-",IF(ISERROR(VLOOKUP(BDQRULE_DELT[[#This Row],[Data Element ID]],DATA_ELEMENT[],2,FALSE)),"Not found",VLOOKUP(BDQRULE_DELT[[#This Row],[Data Element ID]],DATA_ELEMENT[],2,FALSE)))</f>
        <v>-</v>
      </c>
      <c r="F19" s="46" t="str">
        <f>IF(ISBLANK(BDQRULE_DELT[[#This Row],[Data Element ID]]),"-",IF(ISERROR(VLOOKUP(BDQRULE_DELT[[#This Row],[Data Element ID]],DATA_ELEMENT[],3,FALSE)),"Not found",VLOOKUP(BDQRULE_DELT[[#This Row],[Data Element ID]],DATA_ELEMENT[],3,FALSE)))</f>
        <v>-</v>
      </c>
    </row>
    <row r="20" spans="1:6">
      <c r="A20" s="39"/>
      <c r="B20" s="46" t="str">
        <f>IF(ISBLANK(BDQRULE_DELT[[#This Row],[Business Data Quality Rule ID]]),"-",IF(ISERROR(VLOOKUP(BDQRULE_DELT[[#This Row],[Business Data Quality Rule ID]],BUSINES_DQ_RULE[],2,FALSE)),"Not found",VLOOKUP(BDQRULE_DELT[[#This Row],[Business Data Quality Rule ID]],BUSINES_DQ_RULE[],2,FALSE)))</f>
        <v>-</v>
      </c>
      <c r="C20" s="74" t="str">
        <f>IF(ISBLANK(BDQRULE_DELT[[#This Row],[Business Data Quality Rule ID]]),"-",IF(ISERROR(VLOOKUP(BDQRULE_DELT[[#This Row],[Business Data Quality Rule ID]],BUSINES_DQ_RULE[],3,FALSE)),"Not found",VLOOKUP(BDQRULE_DELT[[#This Row],[Business Data Quality Rule ID]],BUSINES_DQ_RULE[],3,FALSE)))</f>
        <v>-</v>
      </c>
      <c r="D20" s="39"/>
      <c r="E20" s="46" t="str">
        <f>IF(ISBLANK(BDQRULE_DELT[[#This Row],[Data Element ID]]),"-",IF(ISERROR(VLOOKUP(BDQRULE_DELT[[#This Row],[Data Element ID]],DATA_ELEMENT[],2,FALSE)),"Not found",VLOOKUP(BDQRULE_DELT[[#This Row],[Data Element ID]],DATA_ELEMENT[],2,FALSE)))</f>
        <v>-</v>
      </c>
      <c r="F20" s="46" t="str">
        <f>IF(ISBLANK(BDQRULE_DELT[[#This Row],[Data Element ID]]),"-",IF(ISERROR(VLOOKUP(BDQRULE_DELT[[#This Row],[Data Element ID]],DATA_ELEMENT[],3,FALSE)),"Not found",VLOOKUP(BDQRULE_DELT[[#This Row],[Data Element ID]],DATA_ELEMENT[],3,FALSE)))</f>
        <v>-</v>
      </c>
    </row>
  </sheetData>
  <sheetProtection sheet="1" objects="1" scenarios="1" formatRows="0" sort="0" autoFilter="0"/>
  <dataValidations count="2">
    <dataValidation type="list" allowBlank="1" showInputMessage="1" showErrorMessage="1" sqref="A4:A20" xr:uid="{19E2CD7B-66FC-4F1A-A6AB-D80C5B72E163}">
      <formula1>INDIRECT("BUSINES_DQ_RULE[ID]")</formula1>
    </dataValidation>
    <dataValidation type="list" allowBlank="1" showInputMessage="1" showErrorMessage="1" sqref="D4:D20" xr:uid="{FED9796A-D13E-4A0C-B32B-0D49715B7857}">
      <formula1>INDIRECT("DATA_ELEMENT[ID]")</formula1>
    </dataValidation>
  </dataValidations>
  <pageMargins left="0.7" right="0.7" top="0.75" bottom="0.75" header="0.3" footer="0.3"/>
  <pageSetup paperSize="9" orientation="portrait" r:id="rId1"/>
  <drawing r:id="rId2"/>
  <tableParts count="1">
    <tablePart r:id="rId3"/>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item1.xml>�� 
</file>

<file path=customXml/item2.xml>�� 
</file>

<file path=customXml/item3.xml><?xml version="1.0" encoding="utf-8"?>
<ct:contentTypeSchema xmlns:ct="http://schemas.microsoft.com/office/2006/metadata/contentType" xmlns:ma="http://schemas.microsoft.com/office/2006/metadata/properties/metaAttributes" ct:_="" ma:_="" ma:contentTypeName="Document" ma:contentTypeID="0x01010026C508957354BC418749E1B2CA44C420" ma:contentTypeVersion="7" ma:contentTypeDescription="Create a new document." ma:contentTypeScope="" ma:versionID="44318d61c830c8e787e551133b936423">
  <xsd:schema xmlns:xsd="http://www.w3.org/2001/XMLSchema" xmlns:xs="http://www.w3.org/2001/XMLSchema" xmlns:p="http://schemas.microsoft.com/office/2006/metadata/properties" xmlns:ns3="8b991784-cd6c-47da-b919-f9f46abf6b4e" targetNamespace="http://schemas.microsoft.com/office/2006/metadata/properties" ma:root="true" ma:fieldsID="58df33b12f48ec51bd4a73989898792e" ns3:_="">
    <xsd:import namespace="8b991784-cd6c-47da-b919-f9f46abf6b4e"/>
    <xsd:element name="properties">
      <xsd:complexType>
        <xsd:sequence>
          <xsd:element name="documentManagement">
            <xsd:complexType>
              <xsd:all>
                <xsd:element ref="ns3:MediaServiceMetadata" minOccurs="0"/>
                <xsd:element ref="ns3:MediaServiceFastMetadata" minOccurs="0"/>
                <xsd:element ref="ns3:MediaServiceAutoTags" minOccurs="0"/>
                <xsd:element ref="ns3:MediaServiceOCR" minOccurs="0"/>
                <xsd:element ref="ns3:MediaServiceGenerationTime" minOccurs="0"/>
                <xsd:element ref="ns3:MediaServiceEventHashCode" minOccurs="0"/>
                <xsd:element ref="ns3:MediaServiceDateTake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8b991784-cd6c-47da-b919-f9f46abf6b4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DateTaken" ma:index="14" nillable="true" ma:displayName="MediaServiceDateTaken" ma:hidden="true" ma:internalName="MediaServiceDateTaken"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xml version="1.0" encoding="utf-8"?>
<?mso-contentType ?>
<FormTemplates xmlns="http://schemas.microsoft.com/sharepoint/v3/contenttype/forms">
  <Display>DocumentLibraryForm</Display>
  <Edit>DocumentLibraryForm</Edit>
  <New>DocumentLibraryForm</New>
</FormTemplates>
</file>

<file path=customXml/item5.xml><?xml version="1.0" encoding="utf-8"?>
<p:properties xmlns:p="http://schemas.microsoft.com/office/2006/metadata/properties" xmlns:xsi="http://www.w3.org/2001/XMLSchema-instance" xmlns:pc="http://schemas.microsoft.com/office/infopath/2007/PartnerControls">
  <documentManagement/>
</p:properties>
</file>

<file path=customXml/item6.xml>�� 
</file>

<file path=customXml/itemProps1.xml><?xml version="1.0" encoding="utf-8"?>
<ds:datastoreItem xmlns:ds="http://schemas.openxmlformats.org/officeDocument/2006/customXml" ds:itemID="{16436112-8D0C-4686-9050-219BF50D2EDE}">
  <ds:schemaRefs>
    <ds:schemaRef ds:uri="http://schemas.microsoft.com/DataMashup"/>
  </ds:schemaRefs>
</ds:datastoreItem>
</file>

<file path=customXml/itemProps2.xml><?xml version="1.0" encoding="utf-8"?>
<ds:datastoreItem xmlns:ds="http://schemas.openxmlformats.org/officeDocument/2006/customXml" ds:itemID="{0BE08D0B-8059-486C-8BAE-0A3E16969BFE}">
  <ds:schemaRefs/>
</ds:datastoreItem>
</file>

<file path=customXml/itemProps3.xml><?xml version="1.0" encoding="utf-8"?>
<ds:datastoreItem xmlns:ds="http://schemas.openxmlformats.org/officeDocument/2006/customXml" ds:itemID="{9293B952-C888-4622-B8B7-9BDC4AB3C99F}">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8b991784-cd6c-47da-b919-f9f46abf6b4e"/>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4.xml><?xml version="1.0" encoding="utf-8"?>
<ds:datastoreItem xmlns:ds="http://schemas.openxmlformats.org/officeDocument/2006/customXml" ds:itemID="{E0BA98BD-590E-444C-A593-8200877FE9E5}">
  <ds:schemaRefs>
    <ds:schemaRef ds:uri="http://schemas.microsoft.com/sharepoint/v3/contenttype/forms"/>
  </ds:schemaRefs>
</ds:datastoreItem>
</file>

<file path=customXml/itemProps5.xml><?xml version="1.0" encoding="utf-8"?>
<ds:datastoreItem xmlns:ds="http://schemas.openxmlformats.org/officeDocument/2006/customXml" ds:itemID="{DDC5B757-39ED-4836-93C2-F5B8025401B5}">
  <ds:schemaRefs>
    <ds:schemaRef ds:uri="http://purl.org/dc/elements/1.1/"/>
    <ds:schemaRef ds:uri="http://schemas.microsoft.com/office/2006/metadata/properties"/>
    <ds:schemaRef ds:uri="http://purl.org/dc/terms/"/>
    <ds:schemaRef ds:uri="http://schemas.openxmlformats.org/package/2006/metadata/core-properties"/>
    <ds:schemaRef ds:uri="http://schemas.microsoft.com/office/2006/documentManagement/types"/>
    <ds:schemaRef ds:uri="http://schemas.microsoft.com/office/infopath/2007/PartnerControls"/>
    <ds:schemaRef ds:uri="8b991784-cd6c-47da-b919-f9f46abf6b4e"/>
    <ds:schemaRef ds:uri="http://www.w3.org/XML/1998/namespace"/>
    <ds:schemaRef ds:uri="http://purl.org/dc/dcmitype/"/>
  </ds:schemaRefs>
</ds:datastoreItem>
</file>

<file path=customXml/itemProps6.xml><?xml version="1.0" encoding="utf-8"?>
<ds:datastoreItem xmlns:ds="http://schemas.openxmlformats.org/officeDocument/2006/customXml" ds:itemID="{4A733BFA-A377-47CD-B5A4-3E9F6C8BA83F}">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26</vt:i4>
      </vt:variant>
      <vt:variant>
        <vt:lpstr>Plages nommées</vt:lpstr>
      </vt:variant>
      <vt:variant>
        <vt:i4>23</vt:i4>
      </vt:variant>
    </vt:vector>
  </HeadingPairs>
  <TitlesOfParts>
    <vt:vector size="49" baseType="lpstr">
      <vt:lpstr>VERSION</vt:lpstr>
      <vt:lpstr>README</vt:lpstr>
      <vt:lpstr>TAB of CONTENTS</vt:lpstr>
      <vt:lpstr>DASHBOARD</vt:lpstr>
      <vt:lpstr>Subject area</vt:lpstr>
      <vt:lpstr>Business area</vt:lpstr>
      <vt:lpstr>Governance team</vt:lpstr>
      <vt:lpstr>Data domain</vt:lpstr>
      <vt:lpstr>Team</vt:lpstr>
      <vt:lpstr>List of values</vt:lpstr>
      <vt:lpstr>ACORD</vt:lpstr>
      <vt:lpstr>Data object</vt:lpstr>
      <vt:lpstr>Data element</vt:lpstr>
      <vt:lpstr>Data processing activity</vt:lpstr>
      <vt:lpstr>Data transfer</vt:lpstr>
      <vt:lpstr>Database</vt:lpstr>
      <vt:lpstr>Dataset</vt:lpstr>
      <vt:lpstr>Datafield</vt:lpstr>
      <vt:lpstr>Business data quality rule</vt:lpstr>
      <vt:lpstr>Technical data quality rule</vt:lpstr>
      <vt:lpstr>Business data issue</vt:lpstr>
      <vt:lpstr>Data quality issue</vt:lpstr>
      <vt:lpstr>Database -&gt; Dataset</vt:lpstr>
      <vt:lpstr>DPA-&gt;Data element</vt:lpstr>
      <vt:lpstr>DPA -&gt; Business DQ rule </vt:lpstr>
      <vt:lpstr>BusinessDQ rule -&gt; Data element</vt:lpstr>
      <vt:lpstr>ASSPLANNING</vt:lpstr>
      <vt:lpstr>BOOLEAN</vt:lpstr>
      <vt:lpstr>BUSCRITICAL</vt:lpstr>
      <vt:lpstr>CONLVL</vt:lpstr>
      <vt:lpstr>CRITILEVEL</vt:lpstr>
      <vt:lpstr>CTRYCD</vt:lpstr>
      <vt:lpstr>CTRYLBL</vt:lpstr>
      <vt:lpstr>CTRYNM</vt:lpstr>
      <vt:lpstr>DATA_ROLE</vt:lpstr>
      <vt:lpstr>DATASETTYPE</vt:lpstr>
      <vt:lpstr>DBENGINE</vt:lpstr>
      <vt:lpstr>DPARCPT</vt:lpstr>
      <vt:lpstr>DPAREC</vt:lpstr>
      <vt:lpstr>DPATLB</vt:lpstr>
      <vt:lpstr>DQDIMENSION</vt:lpstr>
      <vt:lpstr>ENVTYPE</vt:lpstr>
      <vt:lpstr>ILGENT</vt:lpstr>
      <vt:lpstr>ILGRLE</vt:lpstr>
      <vt:lpstr>IMPACTCATEGORY</vt:lpstr>
      <vt:lpstr>IMPORTANCELVL</vt:lpstr>
      <vt:lpstr>PERCAT</vt:lpstr>
      <vt:lpstr>PERIND</vt:lpstr>
      <vt:lpstr>PERSEN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GBETOHO Pastel</dc:creator>
  <cp:lastModifiedBy>GBETOHO Pastel</cp:lastModifiedBy>
  <cp:lastPrinted>2019-07-16T13:11:17Z</cp:lastPrinted>
  <dcterms:created xsi:type="dcterms:W3CDTF">2019-07-15T12:16:27Z</dcterms:created>
  <dcterms:modified xsi:type="dcterms:W3CDTF">2020-01-13T10:00:20Z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724780b5-9b6f-48c0-bacb-de7ed96313a2_Enabled">
    <vt:lpwstr>True</vt:lpwstr>
  </property>
  <property fmtid="{D5CDD505-2E9C-101B-9397-08002B2CF9AE}" pid="3" name="MSIP_Label_724780b5-9b6f-48c0-bacb-de7ed96313a2_SiteId">
    <vt:lpwstr>396b38cc-aa65-492b-bb0e-3d94ed25a97b</vt:lpwstr>
  </property>
  <property fmtid="{D5CDD505-2E9C-101B-9397-08002B2CF9AE}" pid="4" name="MSIP_Label_724780b5-9b6f-48c0-bacb-de7ed96313a2_Owner">
    <vt:lpwstr>pastel.gbetoho.imagine@axa.com</vt:lpwstr>
  </property>
  <property fmtid="{D5CDD505-2E9C-101B-9397-08002B2CF9AE}" pid="5" name="MSIP_Label_724780b5-9b6f-48c0-bacb-de7ed96313a2_SetDate">
    <vt:lpwstr>2019-07-15T12:16:39.3147433Z</vt:lpwstr>
  </property>
  <property fmtid="{D5CDD505-2E9C-101B-9397-08002B2CF9AE}" pid="6" name="MSIP_Label_724780b5-9b6f-48c0-bacb-de7ed96313a2_Name">
    <vt:lpwstr>GIE_AXA_Internal</vt:lpwstr>
  </property>
  <property fmtid="{D5CDD505-2E9C-101B-9397-08002B2CF9AE}" pid="7" name="MSIP_Label_724780b5-9b6f-48c0-bacb-de7ed96313a2_Application">
    <vt:lpwstr>Microsoft Azure Information Protection</vt:lpwstr>
  </property>
  <property fmtid="{D5CDD505-2E9C-101B-9397-08002B2CF9AE}" pid="8" name="MSIP_Label_724780b5-9b6f-48c0-bacb-de7ed96313a2_Extended_MSFT_Method">
    <vt:lpwstr>Automatic</vt:lpwstr>
  </property>
  <property fmtid="{D5CDD505-2E9C-101B-9397-08002B2CF9AE}" pid="9" name="Sensitivity">
    <vt:lpwstr>GIE_AXA_Internal</vt:lpwstr>
  </property>
  <property fmtid="{D5CDD505-2E9C-101B-9397-08002B2CF9AE}" pid="10" name="ContentTypeId">
    <vt:lpwstr>0x01010026C508957354BC418749E1B2CA44C420</vt:lpwstr>
  </property>
</Properties>
</file>